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227"/>
  <workbookPr filterPrivacy="1" defaultThemeVersion="124226"/>
  <xr:revisionPtr revIDLastSave="0" documentId="13_ncr:1_{305C2783-F719-4B27-A49A-E8D9B4C4C252}" xr6:coauthVersionLast="47" xr6:coauthVersionMax="47" xr10:uidLastSave="{00000000-0000-0000-0000-000000000000}"/>
  <bookViews>
    <workbookView xWindow="-108" yWindow="-108" windowWidth="23256" windowHeight="12456" activeTab="1" xr2:uid="{00000000-000D-0000-FFFF-FFFF00000000}"/>
  </bookViews>
  <sheets>
    <sheet name="Remotes" sheetId="1" r:id="rId1"/>
    <sheet name="Cables" sheetId="6" r:id="rId2"/>
    <sheet name="Adapters" sheetId="7" r:id="rId3"/>
    <sheet name="Power Strip" sheetId="8" r:id="rId4"/>
    <sheet name="Cordless Bell" sheetId="9" r:id="rId5"/>
    <sheet name="Sheet2" sheetId="2" state="hidden" r:id="rId6"/>
    <sheet name="Remote Keywords" sheetId="5" state="hidden" r:id="rId7"/>
  </sheets>
  <definedNames>
    <definedName name="_xlnm._FilterDatabase" localSheetId="0" hidden="1">Remotes!$A$1:$T$202</definedName>
  </definedNames>
  <calcPr calcId="191029"/>
</workbook>
</file>

<file path=xl/calcChain.xml><?xml version="1.0" encoding="utf-8"?>
<calcChain xmlns="http://schemas.openxmlformats.org/spreadsheetml/2006/main">
  <c r="D204" i="1" l="1"/>
  <c r="E204" i="1" s="1"/>
  <c r="N204" i="1" s="1"/>
  <c r="G204" i="1"/>
  <c r="H204" i="1"/>
  <c r="J203" i="1"/>
  <c r="I203" i="1"/>
  <c r="H203" i="1"/>
  <c r="D203" i="1"/>
  <c r="F203" i="1" s="1"/>
  <c r="E203" i="1"/>
  <c r="N203" i="1" s="1"/>
  <c r="O204" i="1" l="1"/>
  <c r="P204" i="1"/>
  <c r="Q204" i="1" s="1"/>
  <c r="F204" i="1"/>
  <c r="J204" i="1" s="1"/>
  <c r="I204" i="1"/>
  <c r="O203" i="1"/>
  <c r="P203" i="1"/>
  <c r="Q203" i="1" s="1"/>
  <c r="G203" i="1"/>
  <c r="J202" i="1" l="1"/>
  <c r="J201" i="1"/>
  <c r="J200" i="1"/>
  <c r="J199" i="1"/>
  <c r="J198" i="1"/>
  <c r="J196" i="1"/>
  <c r="J195" i="1"/>
  <c r="J194" i="1"/>
  <c r="J193" i="1"/>
  <c r="J192" i="1"/>
  <c r="J191" i="1"/>
  <c r="J190" i="1"/>
  <c r="J189" i="1"/>
  <c r="J188" i="1"/>
  <c r="J187" i="1"/>
  <c r="J186" i="1"/>
  <c r="J185" i="1"/>
  <c r="J184" i="1"/>
  <c r="J183" i="1"/>
  <c r="J182" i="1"/>
  <c r="J181" i="1"/>
  <c r="J180" i="1"/>
  <c r="J179" i="1"/>
  <c r="J178" i="1"/>
  <c r="J175" i="1"/>
  <c r="J174" i="1"/>
  <c r="J140" i="1"/>
  <c r="J139" i="1"/>
  <c r="J138" i="1"/>
  <c r="J134" i="1"/>
  <c r="J85" i="1"/>
  <c r="J81" i="1"/>
  <c r="J78" i="1"/>
  <c r="H202" i="1"/>
  <c r="H201" i="1"/>
  <c r="H200" i="1"/>
  <c r="H199" i="1"/>
  <c r="H198" i="1"/>
  <c r="H196" i="1"/>
  <c r="H195" i="1"/>
  <c r="H194" i="1"/>
  <c r="H193" i="1"/>
  <c r="H192" i="1"/>
  <c r="H191" i="1"/>
  <c r="H190" i="1"/>
  <c r="H189" i="1"/>
  <c r="H188" i="1"/>
  <c r="H187" i="1"/>
  <c r="H186" i="1"/>
  <c r="H185" i="1"/>
  <c r="H184" i="1"/>
  <c r="H183" i="1"/>
  <c r="H182" i="1"/>
  <c r="H181" i="1"/>
  <c r="H180" i="1"/>
  <c r="H179" i="1"/>
  <c r="H178" i="1"/>
  <c r="H175" i="1"/>
  <c r="H174" i="1"/>
  <c r="H140" i="1"/>
  <c r="H139" i="1"/>
  <c r="H138" i="1"/>
  <c r="H134" i="1"/>
  <c r="H85" i="1"/>
  <c r="H81" i="1"/>
  <c r="H78" i="1"/>
  <c r="J173" i="1"/>
  <c r="J137" i="1"/>
  <c r="J135" i="1"/>
  <c r="J133" i="1"/>
  <c r="J84" i="1"/>
  <c r="J83" i="1"/>
  <c r="J82" i="1"/>
  <c r="J80" i="1"/>
  <c r="J79" i="1"/>
  <c r="J77" i="1"/>
  <c r="J76" i="1"/>
  <c r="J75" i="1"/>
  <c r="J74" i="1"/>
  <c r="J73" i="1"/>
  <c r="J72" i="1"/>
  <c r="J71" i="1"/>
  <c r="J70" i="1"/>
  <c r="J69" i="1"/>
  <c r="J68" i="1"/>
  <c r="J67" i="1"/>
  <c r="J66" i="1"/>
  <c r="J65" i="1"/>
  <c r="J64" i="1"/>
  <c r="J63" i="1"/>
  <c r="J62" i="1"/>
  <c r="J61" i="1"/>
  <c r="J60" i="1"/>
  <c r="J59" i="1"/>
  <c r="J58" i="1"/>
  <c r="J57" i="1"/>
  <c r="J56" i="1"/>
  <c r="J55" i="1"/>
  <c r="J54" i="1"/>
  <c r="J53" i="1"/>
  <c r="J52" i="1"/>
  <c r="H173" i="1"/>
  <c r="H137" i="1"/>
  <c r="H135" i="1"/>
  <c r="H133" i="1"/>
  <c r="H84" i="1"/>
  <c r="H83" i="1"/>
  <c r="H82" i="1"/>
  <c r="H80" i="1"/>
  <c r="H79" i="1"/>
  <c r="H77" i="1"/>
  <c r="H76" i="1"/>
  <c r="H75" i="1"/>
  <c r="H74" i="1"/>
  <c r="H73" i="1"/>
  <c r="H72" i="1"/>
  <c r="H71" i="1"/>
  <c r="H70" i="1"/>
  <c r="H69" i="1"/>
  <c r="H68" i="1"/>
  <c r="H67" i="1"/>
  <c r="H66" i="1"/>
  <c r="H65" i="1"/>
  <c r="H64" i="1"/>
  <c r="H63" i="1"/>
  <c r="H62" i="1"/>
  <c r="H61" i="1"/>
  <c r="H60" i="1"/>
  <c r="H59" i="1"/>
  <c r="H58" i="1"/>
  <c r="H57" i="1"/>
  <c r="H56" i="1"/>
  <c r="H55" i="1"/>
  <c r="H54" i="1"/>
  <c r="H53" i="1"/>
  <c r="H52" i="1"/>
  <c r="J176" i="1"/>
  <c r="J160" i="1"/>
  <c r="J159" i="1"/>
  <c r="J158" i="1"/>
  <c r="J157" i="1"/>
  <c r="J156" i="1"/>
  <c r="J155" i="1"/>
  <c r="J154" i="1"/>
  <c r="J153" i="1"/>
  <c r="J152" i="1"/>
  <c r="J151" i="1"/>
  <c r="J150" i="1"/>
  <c r="J149" i="1"/>
  <c r="J148" i="1"/>
  <c r="J147" i="1"/>
  <c r="J146" i="1"/>
  <c r="J145" i="1"/>
  <c r="J144" i="1"/>
  <c r="J143" i="1"/>
  <c r="J142" i="1"/>
  <c r="J141" i="1"/>
  <c r="J132" i="1"/>
  <c r="J131" i="1"/>
  <c r="J130" i="1"/>
  <c r="J129" i="1"/>
  <c r="J128" i="1"/>
  <c r="J127" i="1"/>
  <c r="J126" i="1"/>
  <c r="J125" i="1"/>
  <c r="J124" i="1"/>
  <c r="J123" i="1"/>
  <c r="H176" i="1"/>
  <c r="H160" i="1"/>
  <c r="H159" i="1"/>
  <c r="H158" i="1"/>
  <c r="H157" i="1"/>
  <c r="H156" i="1"/>
  <c r="H155" i="1"/>
  <c r="H154" i="1"/>
  <c r="H153" i="1"/>
  <c r="H152" i="1"/>
  <c r="H151" i="1"/>
  <c r="H150" i="1"/>
  <c r="H149" i="1"/>
  <c r="H148" i="1"/>
  <c r="H147" i="1"/>
  <c r="H146" i="1"/>
  <c r="H145" i="1"/>
  <c r="H144" i="1"/>
  <c r="H143" i="1"/>
  <c r="H142" i="1"/>
  <c r="H141" i="1"/>
  <c r="H132" i="1"/>
  <c r="H131" i="1"/>
  <c r="H130" i="1"/>
  <c r="H129" i="1"/>
  <c r="H128" i="1"/>
  <c r="H127" i="1"/>
  <c r="H126" i="1"/>
  <c r="H125" i="1"/>
  <c r="H124" i="1"/>
  <c r="H123" i="1"/>
  <c r="H88" i="1"/>
  <c r="H89" i="1"/>
  <c r="H90" i="1"/>
  <c r="H91" i="1"/>
  <c r="H92" i="1"/>
  <c r="H93" i="1"/>
  <c r="H94" i="1"/>
  <c r="H95" i="1"/>
  <c r="H96" i="1"/>
  <c r="H97" i="1"/>
  <c r="H98" i="1"/>
  <c r="H99" i="1"/>
  <c r="H100" i="1"/>
  <c r="H87" i="1"/>
  <c r="J168" i="1"/>
  <c r="J167" i="1"/>
  <c r="J166" i="1"/>
  <c r="J165" i="1"/>
  <c r="J164" i="1"/>
  <c r="J163" i="1"/>
  <c r="J162" i="1"/>
  <c r="J161" i="1"/>
  <c r="J122" i="1"/>
  <c r="J121" i="1"/>
  <c r="J120" i="1"/>
  <c r="J119" i="1"/>
  <c r="J118" i="1"/>
  <c r="J117" i="1"/>
  <c r="J116" i="1"/>
  <c r="J115" i="1"/>
  <c r="J114" i="1"/>
  <c r="J113" i="1"/>
  <c r="J112" i="1"/>
  <c r="J111" i="1"/>
  <c r="J110" i="1"/>
  <c r="J109" i="1"/>
  <c r="J108" i="1"/>
  <c r="J107" i="1"/>
  <c r="J106" i="1"/>
  <c r="J105" i="1"/>
  <c r="J104" i="1"/>
  <c r="J103" i="1"/>
  <c r="J102" i="1"/>
  <c r="J101" i="1"/>
  <c r="H168" i="1"/>
  <c r="H167" i="1"/>
  <c r="H166" i="1"/>
  <c r="H165" i="1"/>
  <c r="H164" i="1"/>
  <c r="H163" i="1"/>
  <c r="H162" i="1"/>
  <c r="H161" i="1"/>
  <c r="H122" i="1"/>
  <c r="H121" i="1"/>
  <c r="H120" i="1"/>
  <c r="H119" i="1"/>
  <c r="H118" i="1"/>
  <c r="H117" i="1"/>
  <c r="H116" i="1"/>
  <c r="H115" i="1"/>
  <c r="H114" i="1"/>
  <c r="H113" i="1"/>
  <c r="H112" i="1"/>
  <c r="H111" i="1"/>
  <c r="H110" i="1"/>
  <c r="H109" i="1"/>
  <c r="H108" i="1"/>
  <c r="H107" i="1"/>
  <c r="H106" i="1"/>
  <c r="H105" i="1"/>
  <c r="H104" i="1"/>
  <c r="H103" i="1"/>
  <c r="H102" i="1"/>
  <c r="H101" i="1"/>
  <c r="H177" i="1"/>
  <c r="H136"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F136" i="1"/>
  <c r="J136" i="1" s="1"/>
  <c r="I136" i="1"/>
  <c r="G136" i="1"/>
  <c r="D133" i="1"/>
  <c r="E133" i="1" s="1"/>
  <c r="N133" i="1" s="1"/>
  <c r="D134" i="1"/>
  <c r="D135" i="1"/>
  <c r="D202" i="1"/>
  <c r="E202" i="1" s="1"/>
  <c r="N202" i="1" s="1"/>
  <c r="D197" i="1"/>
  <c r="F197" i="1" s="1"/>
  <c r="J197" i="1" s="1"/>
  <c r="D114" i="1"/>
  <c r="E114" i="1" s="1"/>
  <c r="N114" i="1" s="1"/>
  <c r="E136" i="1"/>
  <c r="N136" i="1" s="1"/>
  <c r="H197" i="1" l="1"/>
  <c r="I114" i="1"/>
  <c r="F114" i="1"/>
  <c r="E135" i="1"/>
  <c r="N135" i="1" s="1"/>
  <c r="F135" i="1"/>
  <c r="E134" i="1"/>
  <c r="N134" i="1" s="1"/>
  <c r="F134" i="1"/>
  <c r="F202" i="1"/>
  <c r="F133" i="1"/>
  <c r="I134" i="1"/>
  <c r="I135" i="1"/>
  <c r="I197" i="1"/>
  <c r="I133" i="1"/>
  <c r="I202" i="1"/>
  <c r="G202" i="1"/>
  <c r="G114" i="1"/>
  <c r="G135" i="1"/>
  <c r="G134" i="1"/>
  <c r="G197" i="1"/>
  <c r="G133" i="1"/>
  <c r="O202" i="1"/>
  <c r="P202" i="1"/>
  <c r="Q202" i="1" s="1"/>
  <c r="D201" i="1"/>
  <c r="D200" i="1"/>
  <c r="D199" i="1"/>
  <c r="D198" i="1"/>
  <c r="N197" i="1"/>
  <c r="D196" i="1"/>
  <c r="D195" i="1"/>
  <c r="D194" i="1"/>
  <c r="D193" i="1"/>
  <c r="D192" i="1"/>
  <c r="D191" i="1"/>
  <c r="D188" i="1"/>
  <c r="D189" i="1"/>
  <c r="D190" i="1"/>
  <c r="D187" i="1"/>
  <c r="D186" i="1"/>
  <c r="D185" i="1"/>
  <c r="D184" i="1"/>
  <c r="D183" i="1"/>
  <c r="D182" i="1"/>
  <c r="D181" i="1"/>
  <c r="D180" i="1"/>
  <c r="D179" i="1"/>
  <c r="D178" i="1"/>
  <c r="D177" i="1"/>
  <c r="M176" i="1"/>
  <c r="D176" i="1"/>
  <c r="D175" i="1"/>
  <c r="D174" i="1"/>
  <c r="D173" i="1"/>
  <c r="D172" i="1"/>
  <c r="D169" i="1"/>
  <c r="D170" i="1"/>
  <c r="D171" i="1"/>
  <c r="D166" i="1"/>
  <c r="D167" i="1"/>
  <c r="D168" i="1"/>
  <c r="D100" i="1"/>
  <c r="D99" i="1"/>
  <c r="M168" i="1"/>
  <c r="D85" i="1"/>
  <c r="D84" i="1"/>
  <c r="D98" i="1"/>
  <c r="D97" i="1"/>
  <c r="D96" i="1"/>
  <c r="M167" i="1"/>
  <c r="M166" i="1"/>
  <c r="M163" i="1"/>
  <c r="M164" i="1"/>
  <c r="M165" i="1"/>
  <c r="D165" i="1"/>
  <c r="D164" i="1"/>
  <c r="D163" i="1"/>
  <c r="D162" i="1"/>
  <c r="M162" i="1"/>
  <c r="M161" i="1"/>
  <c r="D161" i="1"/>
  <c r="M159" i="1"/>
  <c r="M160" i="1"/>
  <c r="M149" i="1"/>
  <c r="M150" i="1"/>
  <c r="M151" i="1"/>
  <c r="M152" i="1"/>
  <c r="M153" i="1"/>
  <c r="M154" i="1"/>
  <c r="M155" i="1"/>
  <c r="M156" i="1"/>
  <c r="M157" i="1"/>
  <c r="M158" i="1"/>
  <c r="M143" i="1"/>
  <c r="M144" i="1"/>
  <c r="M145" i="1"/>
  <c r="M146" i="1"/>
  <c r="M147" i="1"/>
  <c r="M148" i="1"/>
  <c r="M142" i="1"/>
  <c r="M141" i="1"/>
  <c r="D152" i="1"/>
  <c r="D153" i="1"/>
  <c r="D154" i="1"/>
  <c r="D155" i="1"/>
  <c r="D156" i="1"/>
  <c r="D157" i="1"/>
  <c r="D158" i="1"/>
  <c r="D159" i="1"/>
  <c r="D160" i="1"/>
  <c r="D151" i="1"/>
  <c r="D150" i="1"/>
  <c r="D149" i="1"/>
  <c r="D148" i="1"/>
  <c r="D147" i="1"/>
  <c r="D145" i="1"/>
  <c r="D146" i="1"/>
  <c r="D144" i="1"/>
  <c r="D143" i="1"/>
  <c r="D142" i="1"/>
  <c r="D141" i="1"/>
  <c r="D140" i="1"/>
  <c r="D139" i="1"/>
  <c r="D138" i="1"/>
  <c r="D137" i="1"/>
  <c r="D122" i="1"/>
  <c r="D121" i="1"/>
  <c r="D120" i="1"/>
  <c r="D81" i="1"/>
  <c r="D82" i="1"/>
  <c r="D83" i="1"/>
  <c r="D51" i="1"/>
  <c r="I195" i="1" l="1"/>
  <c r="F195" i="1"/>
  <c r="I83" i="1"/>
  <c r="F83" i="1"/>
  <c r="I139" i="1"/>
  <c r="F139" i="1"/>
  <c r="I147" i="1"/>
  <c r="F147" i="1"/>
  <c r="I157" i="1"/>
  <c r="F157" i="1"/>
  <c r="I82" i="1"/>
  <c r="F82" i="1"/>
  <c r="I140" i="1"/>
  <c r="F140" i="1"/>
  <c r="I148" i="1"/>
  <c r="F148" i="1"/>
  <c r="I156" i="1"/>
  <c r="F156" i="1"/>
  <c r="I84" i="1"/>
  <c r="F84" i="1"/>
  <c r="I171" i="1"/>
  <c r="F171" i="1"/>
  <c r="J171" i="1" s="1"/>
  <c r="I81" i="1"/>
  <c r="F81" i="1"/>
  <c r="I141" i="1"/>
  <c r="F141" i="1"/>
  <c r="I149" i="1"/>
  <c r="F149" i="1"/>
  <c r="I155" i="1"/>
  <c r="F155" i="1"/>
  <c r="I161" i="1"/>
  <c r="F161" i="1"/>
  <c r="I120" i="1"/>
  <c r="F120" i="1"/>
  <c r="I142" i="1"/>
  <c r="F142" i="1"/>
  <c r="I150" i="1"/>
  <c r="F150" i="1"/>
  <c r="I154" i="1"/>
  <c r="F154" i="1"/>
  <c r="I121" i="1"/>
  <c r="F121" i="1"/>
  <c r="I143" i="1"/>
  <c r="F143" i="1"/>
  <c r="I151" i="1"/>
  <c r="F151" i="1"/>
  <c r="I153" i="1"/>
  <c r="F153" i="1"/>
  <c r="I99" i="1"/>
  <c r="F99" i="1"/>
  <c r="J99" i="1" s="1"/>
  <c r="I172" i="1"/>
  <c r="F172" i="1"/>
  <c r="J172" i="1" s="1"/>
  <c r="I179" i="1"/>
  <c r="F179" i="1"/>
  <c r="I187" i="1"/>
  <c r="F187" i="1"/>
  <c r="I122" i="1"/>
  <c r="F122" i="1"/>
  <c r="I144" i="1"/>
  <c r="F144" i="1"/>
  <c r="I160" i="1"/>
  <c r="F160" i="1"/>
  <c r="I152" i="1"/>
  <c r="F152" i="1"/>
  <c r="I162" i="1"/>
  <c r="F162" i="1"/>
  <c r="I100" i="1"/>
  <c r="F100" i="1"/>
  <c r="J100" i="1" s="1"/>
  <c r="I173" i="1"/>
  <c r="F173" i="1"/>
  <c r="I180" i="1"/>
  <c r="F180" i="1"/>
  <c r="I190" i="1"/>
  <c r="F190" i="1"/>
  <c r="I196" i="1"/>
  <c r="F196" i="1"/>
  <c r="I137" i="1"/>
  <c r="F137" i="1"/>
  <c r="I146" i="1"/>
  <c r="F146" i="1"/>
  <c r="I159" i="1"/>
  <c r="F159" i="1"/>
  <c r="I163" i="1"/>
  <c r="F163" i="1"/>
  <c r="I96" i="1"/>
  <c r="F96" i="1"/>
  <c r="J96" i="1" s="1"/>
  <c r="I168" i="1"/>
  <c r="F168" i="1"/>
  <c r="I174" i="1"/>
  <c r="F174" i="1"/>
  <c r="I181" i="1"/>
  <c r="F181" i="1"/>
  <c r="I189" i="1"/>
  <c r="F189" i="1"/>
  <c r="I51" i="1"/>
  <c r="F51" i="1"/>
  <c r="J51" i="1" s="1"/>
  <c r="I138" i="1"/>
  <c r="F138" i="1"/>
  <c r="I145" i="1"/>
  <c r="F145" i="1"/>
  <c r="I158" i="1"/>
  <c r="F158" i="1"/>
  <c r="I164" i="1"/>
  <c r="F164" i="1"/>
  <c r="I97" i="1"/>
  <c r="F97" i="1"/>
  <c r="J97" i="1" s="1"/>
  <c r="I167" i="1"/>
  <c r="F167" i="1"/>
  <c r="I175" i="1"/>
  <c r="F175" i="1"/>
  <c r="I182" i="1"/>
  <c r="F182" i="1"/>
  <c r="I188" i="1"/>
  <c r="F188" i="1"/>
  <c r="I198" i="1"/>
  <c r="F198" i="1"/>
  <c r="I165" i="1"/>
  <c r="F165" i="1"/>
  <c r="I98" i="1"/>
  <c r="F98" i="1"/>
  <c r="J98" i="1" s="1"/>
  <c r="I166" i="1"/>
  <c r="F166" i="1"/>
  <c r="I176" i="1"/>
  <c r="F176" i="1"/>
  <c r="I183" i="1"/>
  <c r="F183" i="1"/>
  <c r="I191" i="1"/>
  <c r="F191" i="1"/>
  <c r="I199" i="1"/>
  <c r="F199" i="1"/>
  <c r="I184" i="1"/>
  <c r="F184" i="1"/>
  <c r="I192" i="1"/>
  <c r="F192" i="1"/>
  <c r="I200" i="1"/>
  <c r="F200" i="1"/>
  <c r="I85" i="1"/>
  <c r="F85" i="1"/>
  <c r="I170" i="1"/>
  <c r="F170" i="1"/>
  <c r="J170" i="1" s="1"/>
  <c r="I177" i="1"/>
  <c r="F177" i="1"/>
  <c r="J177" i="1" s="1"/>
  <c r="I185" i="1"/>
  <c r="F185" i="1"/>
  <c r="I193" i="1"/>
  <c r="F193" i="1"/>
  <c r="I201" i="1"/>
  <c r="F201" i="1"/>
  <c r="F169" i="1"/>
  <c r="I178" i="1"/>
  <c r="F178" i="1"/>
  <c r="I186" i="1"/>
  <c r="F186" i="1"/>
  <c r="I194" i="1"/>
  <c r="F194" i="1"/>
  <c r="G194" i="1"/>
  <c r="G121" i="1"/>
  <c r="G151" i="1"/>
  <c r="G99" i="1"/>
  <c r="G172" i="1"/>
  <c r="H172" i="1"/>
  <c r="G179" i="1"/>
  <c r="G187" i="1"/>
  <c r="G195" i="1"/>
  <c r="G122" i="1"/>
  <c r="G144" i="1"/>
  <c r="G160" i="1"/>
  <c r="G152" i="1"/>
  <c r="G162" i="1"/>
  <c r="G100" i="1"/>
  <c r="G173" i="1"/>
  <c r="G180" i="1"/>
  <c r="G190" i="1"/>
  <c r="G196" i="1"/>
  <c r="G154" i="1"/>
  <c r="G120" i="1"/>
  <c r="G143" i="1"/>
  <c r="G153" i="1"/>
  <c r="G137" i="1"/>
  <c r="G146" i="1"/>
  <c r="G159" i="1"/>
  <c r="G96" i="1"/>
  <c r="G189" i="1"/>
  <c r="G97" i="1"/>
  <c r="G182" i="1"/>
  <c r="G198" i="1"/>
  <c r="G147" i="1"/>
  <c r="G165" i="1"/>
  <c r="G98" i="1"/>
  <c r="G166" i="1"/>
  <c r="G176" i="1"/>
  <c r="G183" i="1"/>
  <c r="G191" i="1"/>
  <c r="G199" i="1"/>
  <c r="G186" i="1"/>
  <c r="G163" i="1"/>
  <c r="G168" i="1"/>
  <c r="G51" i="1"/>
  <c r="G158" i="1"/>
  <c r="G175" i="1"/>
  <c r="G139" i="1"/>
  <c r="G82" i="1"/>
  <c r="G148" i="1"/>
  <c r="G156" i="1"/>
  <c r="G84" i="1"/>
  <c r="G171" i="1"/>
  <c r="H171" i="1"/>
  <c r="G184" i="1"/>
  <c r="G192" i="1"/>
  <c r="G200" i="1"/>
  <c r="G150" i="1"/>
  <c r="G178" i="1"/>
  <c r="G174" i="1"/>
  <c r="G181" i="1"/>
  <c r="G138" i="1"/>
  <c r="G145" i="1"/>
  <c r="G164" i="1"/>
  <c r="G167" i="1"/>
  <c r="G188" i="1"/>
  <c r="G83" i="1"/>
  <c r="G157" i="1"/>
  <c r="G140" i="1"/>
  <c r="G81" i="1"/>
  <c r="G141" i="1"/>
  <c r="G149" i="1"/>
  <c r="G155" i="1"/>
  <c r="G161" i="1"/>
  <c r="G85" i="1"/>
  <c r="G170" i="1"/>
  <c r="H170" i="1"/>
  <c r="G177" i="1"/>
  <c r="G185" i="1"/>
  <c r="G193" i="1"/>
  <c r="G201" i="1"/>
  <c r="G142" i="1"/>
  <c r="G169" i="1"/>
  <c r="E82" i="1"/>
  <c r="N82" i="1" s="1"/>
  <c r="O82" i="1" s="1"/>
  <c r="E184" i="1"/>
  <c r="N184" i="1" s="1"/>
  <c r="O184" i="1" s="1"/>
  <c r="E192" i="1"/>
  <c r="N192" i="1" s="1"/>
  <c r="P192" i="1" s="1"/>
  <c r="Q192" i="1" s="1"/>
  <c r="E200" i="1"/>
  <c r="N200" i="1" s="1"/>
  <c r="P200" i="1" s="1"/>
  <c r="Q200" i="1" s="1"/>
  <c r="E81" i="1"/>
  <c r="N81" i="1" s="1"/>
  <c r="O81" i="1" s="1"/>
  <c r="E141" i="1"/>
  <c r="N141" i="1" s="1"/>
  <c r="O141" i="1" s="1"/>
  <c r="E149" i="1"/>
  <c r="N149" i="1" s="1"/>
  <c r="O149" i="1" s="1"/>
  <c r="E155" i="1"/>
  <c r="N155" i="1" s="1"/>
  <c r="O155" i="1" s="1"/>
  <c r="E161" i="1"/>
  <c r="N161" i="1" s="1"/>
  <c r="O161" i="1" s="1"/>
  <c r="E85" i="1"/>
  <c r="N85" i="1" s="1"/>
  <c r="O85" i="1" s="1"/>
  <c r="E170" i="1"/>
  <c r="N170" i="1" s="1"/>
  <c r="O170" i="1" s="1"/>
  <c r="E177" i="1"/>
  <c r="N177" i="1" s="1"/>
  <c r="O177" i="1" s="1"/>
  <c r="E185" i="1"/>
  <c r="N185" i="1" s="1"/>
  <c r="O185" i="1" s="1"/>
  <c r="E193" i="1"/>
  <c r="E201" i="1"/>
  <c r="N201" i="1" s="1"/>
  <c r="E140" i="1"/>
  <c r="N140" i="1" s="1"/>
  <c r="O140" i="1" s="1"/>
  <c r="E194" i="1"/>
  <c r="N194" i="1" s="1"/>
  <c r="P194" i="1" s="1"/>
  <c r="Q194" i="1" s="1"/>
  <c r="E143" i="1"/>
  <c r="N143" i="1" s="1"/>
  <c r="O143" i="1" s="1"/>
  <c r="E151" i="1"/>
  <c r="N151" i="1" s="1"/>
  <c r="O151" i="1" s="1"/>
  <c r="E153" i="1"/>
  <c r="N153" i="1" s="1"/>
  <c r="O153" i="1" s="1"/>
  <c r="E99" i="1"/>
  <c r="N99" i="1" s="1"/>
  <c r="O99" i="1" s="1"/>
  <c r="E172" i="1"/>
  <c r="N172" i="1" s="1"/>
  <c r="O172" i="1" s="1"/>
  <c r="E179" i="1"/>
  <c r="N179" i="1" s="1"/>
  <c r="O179" i="1" s="1"/>
  <c r="E187" i="1"/>
  <c r="N187" i="1" s="1"/>
  <c r="O187" i="1" s="1"/>
  <c r="E195" i="1"/>
  <c r="N195" i="1" s="1"/>
  <c r="P195" i="1" s="1"/>
  <c r="Q195" i="1" s="1"/>
  <c r="E148" i="1"/>
  <c r="N148" i="1" s="1"/>
  <c r="O148" i="1" s="1"/>
  <c r="E84" i="1"/>
  <c r="N84" i="1" s="1"/>
  <c r="O84" i="1" s="1"/>
  <c r="E169" i="1"/>
  <c r="N169" i="1" s="1"/>
  <c r="O169" i="1" s="1"/>
  <c r="E121" i="1"/>
  <c r="N121" i="1" s="1"/>
  <c r="O121" i="1" s="1"/>
  <c r="E160" i="1"/>
  <c r="N160" i="1" s="1"/>
  <c r="O160" i="1" s="1"/>
  <c r="E152" i="1"/>
  <c r="N152" i="1" s="1"/>
  <c r="O152" i="1" s="1"/>
  <c r="E162" i="1"/>
  <c r="N162" i="1" s="1"/>
  <c r="O162" i="1" s="1"/>
  <c r="E100" i="1"/>
  <c r="N100" i="1" s="1"/>
  <c r="O100" i="1" s="1"/>
  <c r="E173" i="1"/>
  <c r="N173" i="1" s="1"/>
  <c r="O173" i="1" s="1"/>
  <c r="E180" i="1"/>
  <c r="N180" i="1" s="1"/>
  <c r="O180" i="1" s="1"/>
  <c r="E190" i="1"/>
  <c r="N190" i="1" s="1"/>
  <c r="P190" i="1" s="1"/>
  <c r="Q190" i="1" s="1"/>
  <c r="E196" i="1"/>
  <c r="N196" i="1" s="1"/>
  <c r="O196" i="1" s="1"/>
  <c r="E142" i="1"/>
  <c r="N142" i="1" s="1"/>
  <c r="O142" i="1" s="1"/>
  <c r="E122" i="1"/>
  <c r="N122" i="1" s="1"/>
  <c r="O122" i="1" s="1"/>
  <c r="E144" i="1"/>
  <c r="N144" i="1" s="1"/>
  <c r="O144" i="1" s="1"/>
  <c r="E137" i="1"/>
  <c r="N137" i="1" s="1"/>
  <c r="O137" i="1" s="1"/>
  <c r="E146" i="1"/>
  <c r="N146" i="1" s="1"/>
  <c r="O146" i="1" s="1"/>
  <c r="E159" i="1"/>
  <c r="N159" i="1" s="1"/>
  <c r="O159" i="1" s="1"/>
  <c r="E163" i="1"/>
  <c r="N163" i="1" s="1"/>
  <c r="O163" i="1" s="1"/>
  <c r="E96" i="1"/>
  <c r="N96" i="1" s="1"/>
  <c r="O96" i="1" s="1"/>
  <c r="E168" i="1"/>
  <c r="N168" i="1" s="1"/>
  <c r="O168" i="1" s="1"/>
  <c r="E174" i="1"/>
  <c r="N174" i="1" s="1"/>
  <c r="O174" i="1" s="1"/>
  <c r="E181" i="1"/>
  <c r="N181" i="1" s="1"/>
  <c r="O181" i="1" s="1"/>
  <c r="E189" i="1"/>
  <c r="N189" i="1" s="1"/>
  <c r="P189" i="1" s="1"/>
  <c r="Q189" i="1" s="1"/>
  <c r="E120" i="1"/>
  <c r="N120" i="1" s="1"/>
  <c r="O120" i="1" s="1"/>
  <c r="E150" i="1"/>
  <c r="N150" i="1" s="1"/>
  <c r="O150" i="1" s="1"/>
  <c r="E178" i="1"/>
  <c r="N178" i="1" s="1"/>
  <c r="O178" i="1" s="1"/>
  <c r="E51" i="1"/>
  <c r="N51" i="1" s="1"/>
  <c r="O51" i="1" s="1"/>
  <c r="E138" i="1"/>
  <c r="N138" i="1" s="1"/>
  <c r="O138" i="1" s="1"/>
  <c r="E145" i="1"/>
  <c r="N145" i="1" s="1"/>
  <c r="O145" i="1" s="1"/>
  <c r="E158" i="1"/>
  <c r="N158" i="1" s="1"/>
  <c r="O158" i="1" s="1"/>
  <c r="E164" i="1"/>
  <c r="N164" i="1" s="1"/>
  <c r="O164" i="1" s="1"/>
  <c r="E97" i="1"/>
  <c r="N97" i="1" s="1"/>
  <c r="O97" i="1" s="1"/>
  <c r="E167" i="1"/>
  <c r="N167" i="1" s="1"/>
  <c r="O167" i="1" s="1"/>
  <c r="E175" i="1"/>
  <c r="N175" i="1" s="1"/>
  <c r="O175" i="1" s="1"/>
  <c r="E182" i="1"/>
  <c r="N182" i="1" s="1"/>
  <c r="O182" i="1" s="1"/>
  <c r="E188" i="1"/>
  <c r="N188" i="1" s="1"/>
  <c r="O188" i="1" s="1"/>
  <c r="E198" i="1"/>
  <c r="N198" i="1" s="1"/>
  <c r="E156" i="1"/>
  <c r="N156" i="1" s="1"/>
  <c r="O156" i="1" s="1"/>
  <c r="E171" i="1"/>
  <c r="N171" i="1" s="1"/>
  <c r="O171" i="1" s="1"/>
  <c r="E154" i="1"/>
  <c r="N154" i="1" s="1"/>
  <c r="O154" i="1" s="1"/>
  <c r="E186" i="1"/>
  <c r="N186" i="1" s="1"/>
  <c r="O186" i="1" s="1"/>
  <c r="E83" i="1"/>
  <c r="N83" i="1" s="1"/>
  <c r="O83" i="1" s="1"/>
  <c r="E139" i="1"/>
  <c r="N139" i="1" s="1"/>
  <c r="O139" i="1" s="1"/>
  <c r="E147" i="1"/>
  <c r="N147" i="1" s="1"/>
  <c r="O147" i="1" s="1"/>
  <c r="E157" i="1"/>
  <c r="N157" i="1" s="1"/>
  <c r="O157" i="1" s="1"/>
  <c r="E165" i="1"/>
  <c r="N165" i="1" s="1"/>
  <c r="O165" i="1" s="1"/>
  <c r="E98" i="1"/>
  <c r="N98" i="1" s="1"/>
  <c r="O98" i="1" s="1"/>
  <c r="E166" i="1"/>
  <c r="N166" i="1" s="1"/>
  <c r="O166" i="1" s="1"/>
  <c r="E176" i="1"/>
  <c r="N176" i="1" s="1"/>
  <c r="O176" i="1" s="1"/>
  <c r="E183" i="1"/>
  <c r="N183" i="1" s="1"/>
  <c r="O183" i="1" s="1"/>
  <c r="E191" i="1"/>
  <c r="N191" i="1" s="1"/>
  <c r="O191" i="1" s="1"/>
  <c r="E199" i="1"/>
  <c r="N199" i="1" s="1"/>
  <c r="S136" i="1"/>
  <c r="O136" i="1"/>
  <c r="S135" i="1"/>
  <c r="O135" i="1"/>
  <c r="S133" i="1"/>
  <c r="O133" i="1"/>
  <c r="S134" i="1"/>
  <c r="O134" i="1"/>
  <c r="P197" i="1"/>
  <c r="Q197" i="1" s="1"/>
  <c r="O197" i="1"/>
  <c r="S114" i="1"/>
  <c r="O114" i="1"/>
  <c r="P114" i="1"/>
  <c r="Q114" i="1" s="1"/>
  <c r="P136" i="1"/>
  <c r="Q136" i="1" s="1"/>
  <c r="P135" i="1"/>
  <c r="Q135" i="1" s="1"/>
  <c r="P134" i="1"/>
  <c r="Q134" i="1" s="1"/>
  <c r="P133" i="1"/>
  <c r="Q133" i="1" s="1"/>
  <c r="D49" i="1"/>
  <c r="D116" i="1"/>
  <c r="D119" i="1"/>
  <c r="D48" i="1"/>
  <c r="D41" i="1"/>
  <c r="D80" i="1"/>
  <c r="D118" i="1"/>
  <c r="D17" i="1"/>
  <c r="D16" i="1"/>
  <c r="D79" i="1"/>
  <c r="N193" i="1" l="1"/>
  <c r="P193" i="1" s="1"/>
  <c r="Q193" i="1" s="1"/>
  <c r="O200" i="1"/>
  <c r="O194" i="1"/>
  <c r="I41" i="1"/>
  <c r="F41" i="1"/>
  <c r="J41" i="1" s="1"/>
  <c r="I48" i="1"/>
  <c r="F48" i="1"/>
  <c r="J48" i="1" s="1"/>
  <c r="P181" i="1"/>
  <c r="Q181" i="1" s="1"/>
  <c r="I116" i="1"/>
  <c r="F116" i="1"/>
  <c r="I49" i="1"/>
  <c r="F49" i="1"/>
  <c r="J49" i="1" s="1"/>
  <c r="I119" i="1"/>
  <c r="F119" i="1"/>
  <c r="P196" i="1"/>
  <c r="Q196" i="1" s="1"/>
  <c r="I17" i="1"/>
  <c r="F17" i="1"/>
  <c r="J17" i="1" s="1"/>
  <c r="I118" i="1"/>
  <c r="F118" i="1"/>
  <c r="O193" i="1"/>
  <c r="I79" i="1"/>
  <c r="F79" i="1"/>
  <c r="I16" i="1"/>
  <c r="F16" i="1"/>
  <c r="J16" i="1" s="1"/>
  <c r="O190" i="1"/>
  <c r="I80" i="1"/>
  <c r="F80" i="1"/>
  <c r="S181" i="1"/>
  <c r="P191" i="1"/>
  <c r="Q191" i="1" s="1"/>
  <c r="G119" i="1"/>
  <c r="G79" i="1"/>
  <c r="G116" i="1"/>
  <c r="G16" i="1"/>
  <c r="G49" i="1"/>
  <c r="G118" i="1"/>
  <c r="O189" i="1"/>
  <c r="O195" i="1"/>
  <c r="O192" i="1"/>
  <c r="G80" i="1"/>
  <c r="G48" i="1"/>
  <c r="G17" i="1"/>
  <c r="G41" i="1"/>
  <c r="E48" i="1"/>
  <c r="N48" i="1" s="1"/>
  <c r="O48" i="1" s="1"/>
  <c r="E119" i="1"/>
  <c r="N119" i="1" s="1"/>
  <c r="O119" i="1" s="1"/>
  <c r="E116" i="1"/>
  <c r="N116" i="1" s="1"/>
  <c r="O116" i="1" s="1"/>
  <c r="E16" i="1"/>
  <c r="N16" i="1" s="1"/>
  <c r="O16" i="1" s="1"/>
  <c r="E49" i="1"/>
  <c r="N49" i="1" s="1"/>
  <c r="O49" i="1" s="1"/>
  <c r="E41" i="1"/>
  <c r="N41" i="1" s="1"/>
  <c r="O41" i="1" s="1"/>
  <c r="E79" i="1"/>
  <c r="N79" i="1" s="1"/>
  <c r="O79" i="1" s="1"/>
  <c r="E17" i="1"/>
  <c r="N17" i="1" s="1"/>
  <c r="O17" i="1" s="1"/>
  <c r="E118" i="1"/>
  <c r="N118" i="1" s="1"/>
  <c r="O118" i="1" s="1"/>
  <c r="E80" i="1"/>
  <c r="N80" i="1" s="1"/>
  <c r="O80" i="1" s="1"/>
  <c r="P201" i="1"/>
  <c r="Q201" i="1" s="1"/>
  <c r="O201" i="1"/>
  <c r="P199" i="1"/>
  <c r="Q199" i="1" s="1"/>
  <c r="O199" i="1"/>
  <c r="P198" i="1"/>
  <c r="Q198" i="1" s="1"/>
  <c r="O198" i="1"/>
  <c r="S179" i="1"/>
  <c r="P179" i="1"/>
  <c r="Q179" i="1" s="1"/>
  <c r="S149" i="1"/>
  <c r="P149" i="1"/>
  <c r="Q149" i="1" s="1"/>
  <c r="S148" i="1"/>
  <c r="P148" i="1"/>
  <c r="Q148" i="1" s="1"/>
  <c r="S51" i="1"/>
  <c r="P51" i="1"/>
  <c r="Q51" i="1" s="1"/>
  <c r="S180" i="1"/>
  <c r="P180" i="1"/>
  <c r="Q180" i="1" s="1"/>
  <c r="S147" i="1"/>
  <c r="P147" i="1"/>
  <c r="Q147" i="1" s="1"/>
  <c r="S188" i="1"/>
  <c r="P188" i="1"/>
  <c r="Q188" i="1" s="1"/>
  <c r="S155" i="1"/>
  <c r="P155" i="1"/>
  <c r="Q155" i="1" s="1"/>
  <c r="S84" i="1"/>
  <c r="P84" i="1"/>
  <c r="Q84" i="1" s="1"/>
  <c r="S171" i="1"/>
  <c r="P171" i="1"/>
  <c r="Q171" i="1" s="1"/>
  <c r="S141" i="1"/>
  <c r="P141" i="1"/>
  <c r="Q141" i="1" s="1"/>
  <c r="S138" i="1"/>
  <c r="P138" i="1"/>
  <c r="Q138" i="1" s="1"/>
  <c r="S122" i="1"/>
  <c r="P122" i="1"/>
  <c r="Q122" i="1" s="1"/>
  <c r="S172" i="1"/>
  <c r="P172" i="1"/>
  <c r="Q172" i="1" s="1"/>
  <c r="S165" i="1"/>
  <c r="P165" i="1"/>
  <c r="Q165" i="1" s="1"/>
  <c r="S120" i="1"/>
  <c r="P120" i="1"/>
  <c r="Q120" i="1" s="1"/>
  <c r="S98" i="1"/>
  <c r="P98" i="1"/>
  <c r="Q98" i="1" s="1"/>
  <c r="S83" i="1"/>
  <c r="P83" i="1"/>
  <c r="Q83" i="1" s="1"/>
  <c r="S161" i="1"/>
  <c r="P161" i="1"/>
  <c r="Q161" i="1" s="1"/>
  <c r="S164" i="1"/>
  <c r="P164" i="1"/>
  <c r="Q164" i="1" s="1"/>
  <c r="S153" i="1"/>
  <c r="P153" i="1"/>
  <c r="Q153" i="1" s="1"/>
  <c r="S85" i="1"/>
  <c r="P85" i="1"/>
  <c r="Q85" i="1" s="1"/>
  <c r="S97" i="1"/>
  <c r="P97" i="1"/>
  <c r="Q97" i="1" s="1"/>
  <c r="S146" i="1"/>
  <c r="P146" i="1"/>
  <c r="Q146" i="1" s="1"/>
  <c r="S186" i="1"/>
  <c r="P186" i="1"/>
  <c r="Q186" i="1" s="1"/>
  <c r="S176" i="1"/>
  <c r="P176" i="1"/>
  <c r="Q176" i="1" s="1"/>
  <c r="S156" i="1"/>
  <c r="P156" i="1"/>
  <c r="Q156" i="1" s="1"/>
  <c r="S187" i="1"/>
  <c r="P187" i="1"/>
  <c r="Q187" i="1" s="1"/>
  <c r="S178" i="1"/>
  <c r="P178" i="1"/>
  <c r="Q178" i="1" s="1"/>
  <c r="S99" i="1"/>
  <c r="P99" i="1"/>
  <c r="Q99" i="1" s="1"/>
  <c r="S183" i="1"/>
  <c r="P183" i="1"/>
  <c r="Q183" i="1" s="1"/>
  <c r="S81" i="1"/>
  <c r="P81" i="1"/>
  <c r="Q81" i="1" s="1"/>
  <c r="S121" i="1"/>
  <c r="P121" i="1"/>
  <c r="Q121" i="1" s="1"/>
  <c r="S145" i="1"/>
  <c r="P145" i="1"/>
  <c r="Q145" i="1" s="1"/>
  <c r="S143" i="1"/>
  <c r="P143" i="1"/>
  <c r="Q143" i="1" s="1"/>
  <c r="S154" i="1"/>
  <c r="P154" i="1"/>
  <c r="Q154" i="1" s="1"/>
  <c r="S100" i="1"/>
  <c r="P100" i="1"/>
  <c r="Q100" i="1" s="1"/>
  <c r="S177" i="1"/>
  <c r="P177" i="1"/>
  <c r="Q177" i="1" s="1"/>
  <c r="S168" i="1"/>
  <c r="P168" i="1"/>
  <c r="Q168" i="1" s="1"/>
  <c r="S162" i="1"/>
  <c r="P162" i="1"/>
  <c r="Q162" i="1" s="1"/>
  <c r="S142" i="1"/>
  <c r="P142" i="1"/>
  <c r="Q142" i="1" s="1"/>
  <c r="S185" i="1"/>
  <c r="P185" i="1"/>
  <c r="Q185" i="1" s="1"/>
  <c r="S175" i="1"/>
  <c r="P175" i="1"/>
  <c r="Q175" i="1" s="1"/>
  <c r="S152" i="1"/>
  <c r="P152" i="1"/>
  <c r="Q152" i="1" s="1"/>
  <c r="S174" i="1"/>
  <c r="P174" i="1"/>
  <c r="Q174" i="1" s="1"/>
  <c r="S167" i="1"/>
  <c r="P167" i="1"/>
  <c r="Q167" i="1" s="1"/>
  <c r="S144" i="1"/>
  <c r="P144" i="1"/>
  <c r="Q144" i="1" s="1"/>
  <c r="S137" i="1"/>
  <c r="P137" i="1"/>
  <c r="Q137" i="1" s="1"/>
  <c r="S82" i="1"/>
  <c r="P82" i="1"/>
  <c r="Q82" i="1" s="1"/>
  <c r="S173" i="1"/>
  <c r="P173" i="1"/>
  <c r="Q173" i="1" s="1"/>
  <c r="S139" i="1"/>
  <c r="P139" i="1"/>
  <c r="Q139" i="1" s="1"/>
  <c r="S163" i="1"/>
  <c r="P163" i="1"/>
  <c r="Q163" i="1" s="1"/>
  <c r="S150" i="1"/>
  <c r="P150" i="1"/>
  <c r="Q150" i="1" s="1"/>
  <c r="S96" i="1"/>
  <c r="P96" i="1"/>
  <c r="Q96" i="1" s="1"/>
  <c r="S170" i="1"/>
  <c r="P170" i="1"/>
  <c r="Q170" i="1" s="1"/>
  <c r="S159" i="1"/>
  <c r="P159" i="1"/>
  <c r="Q159" i="1" s="1"/>
  <c r="S157" i="1"/>
  <c r="P157" i="1"/>
  <c r="Q157" i="1" s="1"/>
  <c r="S166" i="1"/>
  <c r="P166" i="1"/>
  <c r="Q166" i="1" s="1"/>
  <c r="S184" i="1"/>
  <c r="P184" i="1"/>
  <c r="Q184" i="1" s="1"/>
  <c r="S151" i="1"/>
  <c r="P151" i="1"/>
  <c r="Q151" i="1" s="1"/>
  <c r="S160" i="1"/>
  <c r="P160" i="1"/>
  <c r="Q160" i="1" s="1"/>
  <c r="S140" i="1"/>
  <c r="P140" i="1"/>
  <c r="Q140" i="1" s="1"/>
  <c r="S182" i="1"/>
  <c r="P182" i="1"/>
  <c r="Q182" i="1" s="1"/>
  <c r="S169" i="1"/>
  <c r="P169" i="1"/>
  <c r="Q169" i="1" s="1"/>
  <c r="S158" i="1"/>
  <c r="P158" i="1"/>
  <c r="Q158" i="1" s="1"/>
  <c r="D3" i="1"/>
  <c r="D4" i="1"/>
  <c r="D5" i="1"/>
  <c r="D6" i="1"/>
  <c r="D7" i="1"/>
  <c r="D8" i="1"/>
  <c r="D9" i="1"/>
  <c r="D10" i="1"/>
  <c r="D11" i="1"/>
  <c r="D12" i="1"/>
  <c r="D13" i="1"/>
  <c r="D14" i="1"/>
  <c r="D15" i="1"/>
  <c r="D18" i="1"/>
  <c r="D19" i="1"/>
  <c r="D20" i="1"/>
  <c r="F20" i="1" s="1"/>
  <c r="J20" i="1" s="1"/>
  <c r="D21" i="1"/>
  <c r="F21" i="1" s="1"/>
  <c r="J21" i="1" s="1"/>
  <c r="D22" i="1"/>
  <c r="D23" i="1"/>
  <c r="D24" i="1"/>
  <c r="D25" i="1"/>
  <c r="D26" i="1"/>
  <c r="D27" i="1"/>
  <c r="D28" i="1"/>
  <c r="D29" i="1"/>
  <c r="D30" i="1"/>
  <c r="D31" i="1"/>
  <c r="D32" i="1"/>
  <c r="D33" i="1"/>
  <c r="D34" i="1"/>
  <c r="D35" i="1"/>
  <c r="D36" i="1"/>
  <c r="D37" i="1"/>
  <c r="D38" i="1"/>
  <c r="D39" i="1"/>
  <c r="D40" i="1"/>
  <c r="D42" i="1"/>
  <c r="D43" i="1"/>
  <c r="F43" i="1" s="1"/>
  <c r="J43" i="1" s="1"/>
  <c r="D44" i="1"/>
  <c r="D45" i="1"/>
  <c r="D46" i="1"/>
  <c r="D47" i="1"/>
  <c r="D50" i="1"/>
  <c r="D52" i="1"/>
  <c r="D53" i="1"/>
  <c r="D54" i="1"/>
  <c r="D55" i="1"/>
  <c r="D56" i="1"/>
  <c r="D57" i="1"/>
  <c r="D58" i="1"/>
  <c r="D59" i="1"/>
  <c r="D60" i="1"/>
  <c r="D61" i="1"/>
  <c r="D62" i="1"/>
  <c r="D63" i="1"/>
  <c r="D64" i="1"/>
  <c r="D65" i="1"/>
  <c r="F65" i="1" s="1"/>
  <c r="D66" i="1"/>
  <c r="D67" i="1"/>
  <c r="D68" i="1"/>
  <c r="D69" i="1"/>
  <c r="D70" i="1"/>
  <c r="D71" i="1"/>
  <c r="D72" i="1"/>
  <c r="D73" i="1"/>
  <c r="D74" i="1"/>
  <c r="D75" i="1"/>
  <c r="D76" i="1"/>
  <c r="D77" i="1"/>
  <c r="D78" i="1"/>
  <c r="D86" i="1"/>
  <c r="F86" i="1" s="1"/>
  <c r="J86" i="1" s="1"/>
  <c r="D87" i="1"/>
  <c r="D88" i="1"/>
  <c r="D89" i="1"/>
  <c r="D90" i="1"/>
  <c r="D91" i="1"/>
  <c r="D92" i="1"/>
  <c r="D93" i="1"/>
  <c r="D94" i="1"/>
  <c r="D95" i="1"/>
  <c r="F95" i="1" s="1"/>
  <c r="J95" i="1" s="1"/>
  <c r="D101" i="1"/>
  <c r="D102" i="1"/>
  <c r="D103" i="1"/>
  <c r="D104" i="1"/>
  <c r="D105" i="1"/>
  <c r="D106" i="1"/>
  <c r="F106" i="1" s="1"/>
  <c r="D107" i="1"/>
  <c r="D108" i="1"/>
  <c r="D109" i="1"/>
  <c r="D110" i="1"/>
  <c r="D111" i="1"/>
  <c r="D112" i="1"/>
  <c r="D113" i="1"/>
  <c r="D115" i="1"/>
  <c r="D117" i="1"/>
  <c r="D123" i="1"/>
  <c r="D124" i="1"/>
  <c r="D125" i="1"/>
  <c r="D126" i="1"/>
  <c r="D127" i="1"/>
  <c r="D128" i="1"/>
  <c r="D129" i="1"/>
  <c r="D130" i="1"/>
  <c r="D131" i="1"/>
  <c r="D132" i="1"/>
  <c r="D2" i="1"/>
  <c r="I110" i="1" l="1"/>
  <c r="F110" i="1"/>
  <c r="I89" i="1"/>
  <c r="F89" i="1"/>
  <c r="J89" i="1" s="1"/>
  <c r="I66" i="1"/>
  <c r="F66" i="1"/>
  <c r="I22" i="1"/>
  <c r="F22" i="1"/>
  <c r="J22" i="1" s="1"/>
  <c r="I125" i="1"/>
  <c r="F125" i="1"/>
  <c r="I102" i="1"/>
  <c r="F102" i="1"/>
  <c r="I58" i="1"/>
  <c r="F58" i="1"/>
  <c r="I38" i="1"/>
  <c r="F38" i="1"/>
  <c r="J38" i="1" s="1"/>
  <c r="I12" i="1"/>
  <c r="F12" i="1"/>
  <c r="J12" i="1" s="1"/>
  <c r="I132" i="1"/>
  <c r="F132" i="1"/>
  <c r="I37" i="1"/>
  <c r="F37" i="1"/>
  <c r="J37" i="1" s="1"/>
  <c r="I3" i="1"/>
  <c r="F3" i="1"/>
  <c r="J3" i="1" s="1"/>
  <c r="I108" i="1"/>
  <c r="F108" i="1"/>
  <c r="I64" i="1"/>
  <c r="F64" i="1"/>
  <c r="I36" i="1"/>
  <c r="F36" i="1"/>
  <c r="J36" i="1" s="1"/>
  <c r="I117" i="1"/>
  <c r="F117" i="1"/>
  <c r="I107" i="1"/>
  <c r="F107" i="1"/>
  <c r="I63" i="1"/>
  <c r="F63" i="1"/>
  <c r="I35" i="1"/>
  <c r="F35" i="1"/>
  <c r="J35" i="1" s="1"/>
  <c r="I9" i="1"/>
  <c r="F9" i="1"/>
  <c r="J9" i="1" s="1"/>
  <c r="I73" i="1"/>
  <c r="F73" i="1"/>
  <c r="I29" i="1"/>
  <c r="F29" i="1"/>
  <c r="J29" i="1" s="1"/>
  <c r="I2" i="1"/>
  <c r="F2" i="1"/>
  <c r="J2" i="1" s="1"/>
  <c r="I74" i="1"/>
  <c r="F74" i="1"/>
  <c r="I47" i="1"/>
  <c r="F47" i="1"/>
  <c r="J47" i="1" s="1"/>
  <c r="I30" i="1"/>
  <c r="F30" i="1"/>
  <c r="J30" i="1" s="1"/>
  <c r="I4" i="1"/>
  <c r="F4" i="1"/>
  <c r="J4" i="1" s="1"/>
  <c r="I101" i="1"/>
  <c r="F101" i="1"/>
  <c r="I131" i="1"/>
  <c r="F131" i="1"/>
  <c r="I87" i="1"/>
  <c r="F87" i="1"/>
  <c r="J87" i="1" s="1"/>
  <c r="I45" i="1"/>
  <c r="F45" i="1"/>
  <c r="J45" i="1" s="1"/>
  <c r="I10" i="1"/>
  <c r="F10" i="1"/>
  <c r="J10" i="1" s="1"/>
  <c r="I130" i="1"/>
  <c r="F130" i="1"/>
  <c r="I94" i="1"/>
  <c r="F94" i="1"/>
  <c r="J94" i="1" s="1"/>
  <c r="I71" i="1"/>
  <c r="F71" i="1"/>
  <c r="I44" i="1"/>
  <c r="F44" i="1"/>
  <c r="J44" i="1" s="1"/>
  <c r="I19" i="1"/>
  <c r="F19" i="1"/>
  <c r="J19" i="1" s="1"/>
  <c r="I129" i="1"/>
  <c r="F129" i="1"/>
  <c r="I115" i="1"/>
  <c r="F115" i="1"/>
  <c r="I93" i="1"/>
  <c r="F93" i="1"/>
  <c r="J93" i="1" s="1"/>
  <c r="I26" i="1"/>
  <c r="F26" i="1"/>
  <c r="J26" i="1" s="1"/>
  <c r="I8" i="1"/>
  <c r="F8" i="1"/>
  <c r="J8" i="1" s="1"/>
  <c r="I113" i="1"/>
  <c r="F113" i="1"/>
  <c r="I92" i="1"/>
  <c r="F92" i="1"/>
  <c r="J92" i="1" s="1"/>
  <c r="I69" i="1"/>
  <c r="F69" i="1"/>
  <c r="I61" i="1"/>
  <c r="F61" i="1"/>
  <c r="I53" i="1"/>
  <c r="F53" i="1"/>
  <c r="I42" i="1"/>
  <c r="F42" i="1"/>
  <c r="J42" i="1" s="1"/>
  <c r="I33" i="1"/>
  <c r="F33" i="1"/>
  <c r="J33" i="1" s="1"/>
  <c r="I25" i="1"/>
  <c r="F25" i="1"/>
  <c r="J25" i="1" s="1"/>
  <c r="I15" i="1"/>
  <c r="F15" i="1"/>
  <c r="J15" i="1" s="1"/>
  <c r="I7" i="1"/>
  <c r="F7" i="1"/>
  <c r="J7" i="1" s="1"/>
  <c r="I124" i="1"/>
  <c r="F124" i="1"/>
  <c r="I46" i="1"/>
  <c r="F46" i="1"/>
  <c r="J46" i="1" s="1"/>
  <c r="I55" i="1"/>
  <c r="F55" i="1"/>
  <c r="I27" i="1"/>
  <c r="F27" i="1"/>
  <c r="J27" i="1" s="1"/>
  <c r="I78" i="1"/>
  <c r="F78" i="1"/>
  <c r="I70" i="1"/>
  <c r="F70" i="1"/>
  <c r="I62" i="1"/>
  <c r="F62" i="1"/>
  <c r="I54" i="1"/>
  <c r="F54" i="1"/>
  <c r="I34" i="1"/>
  <c r="F34" i="1"/>
  <c r="J34" i="1" s="1"/>
  <c r="I18" i="1"/>
  <c r="F18" i="1"/>
  <c r="J18" i="1" s="1"/>
  <c r="I128" i="1"/>
  <c r="F128" i="1"/>
  <c r="I105" i="1"/>
  <c r="F105" i="1"/>
  <c r="I77" i="1"/>
  <c r="F77" i="1"/>
  <c r="I127" i="1"/>
  <c r="F127" i="1"/>
  <c r="I112" i="1"/>
  <c r="F112" i="1"/>
  <c r="I104" i="1"/>
  <c r="F104" i="1"/>
  <c r="I91" i="1"/>
  <c r="F91" i="1"/>
  <c r="J91" i="1" s="1"/>
  <c r="I76" i="1"/>
  <c r="F76" i="1"/>
  <c r="I68" i="1"/>
  <c r="F68" i="1"/>
  <c r="I60" i="1"/>
  <c r="F60" i="1"/>
  <c r="I52" i="1"/>
  <c r="F52" i="1"/>
  <c r="I40" i="1"/>
  <c r="F40" i="1"/>
  <c r="J40" i="1" s="1"/>
  <c r="I32" i="1"/>
  <c r="F32" i="1"/>
  <c r="J32" i="1" s="1"/>
  <c r="I24" i="1"/>
  <c r="F24" i="1"/>
  <c r="J24" i="1" s="1"/>
  <c r="I14" i="1"/>
  <c r="F14" i="1"/>
  <c r="J14" i="1" s="1"/>
  <c r="I6" i="1"/>
  <c r="F6" i="1"/>
  <c r="J6" i="1" s="1"/>
  <c r="I109" i="1"/>
  <c r="F109" i="1"/>
  <c r="I88" i="1"/>
  <c r="F88" i="1"/>
  <c r="J88" i="1" s="1"/>
  <c r="I57" i="1"/>
  <c r="F57" i="1"/>
  <c r="I11" i="1"/>
  <c r="F11" i="1"/>
  <c r="J11" i="1" s="1"/>
  <c r="I123" i="1"/>
  <c r="F123" i="1"/>
  <c r="I72" i="1"/>
  <c r="F72" i="1"/>
  <c r="I56" i="1"/>
  <c r="F56" i="1"/>
  <c r="I28" i="1"/>
  <c r="F28" i="1"/>
  <c r="J28" i="1" s="1"/>
  <c r="I126" i="1"/>
  <c r="F126" i="1"/>
  <c r="I111" i="1"/>
  <c r="F111" i="1"/>
  <c r="I103" i="1"/>
  <c r="F103" i="1"/>
  <c r="I90" i="1"/>
  <c r="F90" i="1"/>
  <c r="J90" i="1" s="1"/>
  <c r="I75" i="1"/>
  <c r="F75" i="1"/>
  <c r="I67" i="1"/>
  <c r="F67" i="1"/>
  <c r="I59" i="1"/>
  <c r="F59" i="1"/>
  <c r="I50" i="1"/>
  <c r="F50" i="1"/>
  <c r="J50" i="1" s="1"/>
  <c r="I39" i="1"/>
  <c r="F39" i="1"/>
  <c r="J39" i="1" s="1"/>
  <c r="I31" i="1"/>
  <c r="F31" i="1"/>
  <c r="J31" i="1" s="1"/>
  <c r="I23" i="1"/>
  <c r="F23" i="1"/>
  <c r="J23" i="1" s="1"/>
  <c r="I13" i="1"/>
  <c r="F13" i="1"/>
  <c r="J13" i="1" s="1"/>
  <c r="I5" i="1"/>
  <c r="F5" i="1"/>
  <c r="J5" i="1" s="1"/>
  <c r="I106" i="1"/>
  <c r="I43" i="1"/>
  <c r="I86" i="1"/>
  <c r="I65" i="1"/>
  <c r="I21" i="1"/>
  <c r="I95" i="1"/>
  <c r="I20" i="1"/>
  <c r="G67" i="1"/>
  <c r="G125" i="1"/>
  <c r="G66" i="1"/>
  <c r="G30" i="1"/>
  <c r="G4" i="1"/>
  <c r="G132" i="1"/>
  <c r="G124" i="1"/>
  <c r="G109" i="1"/>
  <c r="G101" i="1"/>
  <c r="G88" i="1"/>
  <c r="G73" i="1"/>
  <c r="G57" i="1"/>
  <c r="G46" i="1"/>
  <c r="G37" i="1"/>
  <c r="G29" i="1"/>
  <c r="G11" i="1"/>
  <c r="G3" i="1"/>
  <c r="G90" i="1"/>
  <c r="G31" i="1"/>
  <c r="G102" i="1"/>
  <c r="G38" i="1"/>
  <c r="G12" i="1"/>
  <c r="G131" i="1"/>
  <c r="G123" i="1"/>
  <c r="G108" i="1"/>
  <c r="G87" i="1"/>
  <c r="G72" i="1"/>
  <c r="G64" i="1"/>
  <c r="G56" i="1"/>
  <c r="G45" i="1"/>
  <c r="G36" i="1"/>
  <c r="G28" i="1"/>
  <c r="G10" i="1"/>
  <c r="G75" i="1"/>
  <c r="G23" i="1"/>
  <c r="G47" i="1"/>
  <c r="G117" i="1"/>
  <c r="G94" i="1"/>
  <c r="G71" i="1"/>
  <c r="G55" i="1"/>
  <c r="G27" i="1"/>
  <c r="G103" i="1"/>
  <c r="G59" i="1"/>
  <c r="G13" i="1"/>
  <c r="G110" i="1"/>
  <c r="G74" i="1"/>
  <c r="G22" i="1"/>
  <c r="G130" i="1"/>
  <c r="G107" i="1"/>
  <c r="G63" i="1"/>
  <c r="G44" i="1"/>
  <c r="G35" i="1"/>
  <c r="G19" i="1"/>
  <c r="G9" i="1"/>
  <c r="G129" i="1"/>
  <c r="G115" i="1"/>
  <c r="G93" i="1"/>
  <c r="G78" i="1"/>
  <c r="G70" i="1"/>
  <c r="G62" i="1"/>
  <c r="G54" i="1"/>
  <c r="G34" i="1"/>
  <c r="G26" i="1"/>
  <c r="G18" i="1"/>
  <c r="G8" i="1"/>
  <c r="G126" i="1"/>
  <c r="G39" i="1"/>
  <c r="G89" i="1"/>
  <c r="G128" i="1"/>
  <c r="G105" i="1"/>
  <c r="G69" i="1"/>
  <c r="G53" i="1"/>
  <c r="G33" i="1"/>
  <c r="G15" i="1"/>
  <c r="G111" i="1"/>
  <c r="G50" i="1"/>
  <c r="G5" i="1"/>
  <c r="G2" i="1"/>
  <c r="G58" i="1"/>
  <c r="G113" i="1"/>
  <c r="G92" i="1"/>
  <c r="G77" i="1"/>
  <c r="G61" i="1"/>
  <c r="G42" i="1"/>
  <c r="G25" i="1"/>
  <c r="G7" i="1"/>
  <c r="G127" i="1"/>
  <c r="G112" i="1"/>
  <c r="G104" i="1"/>
  <c r="G91" i="1"/>
  <c r="G76" i="1"/>
  <c r="G68" i="1"/>
  <c r="G60" i="1"/>
  <c r="G52" i="1"/>
  <c r="G40" i="1"/>
  <c r="G32" i="1"/>
  <c r="G24" i="1"/>
  <c r="G14" i="1"/>
  <c r="G6" i="1"/>
  <c r="G65" i="1"/>
  <c r="G21" i="1"/>
  <c r="G86" i="1"/>
  <c r="G106" i="1"/>
  <c r="G43" i="1"/>
  <c r="G95" i="1"/>
  <c r="G20" i="1"/>
  <c r="E125" i="1"/>
  <c r="N125" i="1" s="1"/>
  <c r="O125" i="1" s="1"/>
  <c r="E47" i="1"/>
  <c r="N47" i="1" s="1"/>
  <c r="O47" i="1" s="1"/>
  <c r="E12" i="1"/>
  <c r="N12" i="1" s="1"/>
  <c r="O12" i="1" s="1"/>
  <c r="E132" i="1"/>
  <c r="N132" i="1" s="1"/>
  <c r="O132" i="1" s="1"/>
  <c r="E124" i="1"/>
  <c r="N124" i="1" s="1"/>
  <c r="O124" i="1" s="1"/>
  <c r="E109" i="1"/>
  <c r="N109" i="1" s="1"/>
  <c r="O109" i="1" s="1"/>
  <c r="E101" i="1"/>
  <c r="N101" i="1" s="1"/>
  <c r="O101" i="1" s="1"/>
  <c r="E88" i="1"/>
  <c r="N88" i="1" s="1"/>
  <c r="O88" i="1" s="1"/>
  <c r="E73" i="1"/>
  <c r="N73" i="1" s="1"/>
  <c r="O73" i="1" s="1"/>
  <c r="E57" i="1"/>
  <c r="N57" i="1" s="1"/>
  <c r="O57" i="1" s="1"/>
  <c r="E46" i="1"/>
  <c r="N46" i="1" s="1"/>
  <c r="O46" i="1" s="1"/>
  <c r="E37" i="1"/>
  <c r="N37" i="1" s="1"/>
  <c r="O37" i="1" s="1"/>
  <c r="E29" i="1"/>
  <c r="N29" i="1" s="1"/>
  <c r="O29" i="1" s="1"/>
  <c r="E110" i="1"/>
  <c r="N110" i="1" s="1"/>
  <c r="O110" i="1" s="1"/>
  <c r="E58" i="1"/>
  <c r="N58" i="1" s="1"/>
  <c r="O58" i="1" s="1"/>
  <c r="E131" i="1"/>
  <c r="N131" i="1" s="1"/>
  <c r="O131" i="1" s="1"/>
  <c r="E72" i="1"/>
  <c r="N72" i="1" s="1"/>
  <c r="O72" i="1" s="1"/>
  <c r="E107" i="1"/>
  <c r="N107" i="1" s="1"/>
  <c r="O107" i="1" s="1"/>
  <c r="E94" i="1"/>
  <c r="N94" i="1" s="1"/>
  <c r="O94" i="1" s="1"/>
  <c r="E71" i="1"/>
  <c r="N71" i="1" s="1"/>
  <c r="O71" i="1" s="1"/>
  <c r="E63" i="1"/>
  <c r="N63" i="1" s="1"/>
  <c r="O63" i="1" s="1"/>
  <c r="E55" i="1"/>
  <c r="N55" i="1" s="1"/>
  <c r="O55" i="1" s="1"/>
  <c r="E44" i="1"/>
  <c r="N44" i="1" s="1"/>
  <c r="O44" i="1" s="1"/>
  <c r="E35" i="1"/>
  <c r="N35" i="1" s="1"/>
  <c r="O35" i="1" s="1"/>
  <c r="E27" i="1"/>
  <c r="N27" i="1" s="1"/>
  <c r="O27" i="1" s="1"/>
  <c r="E19" i="1"/>
  <c r="N19" i="1" s="1"/>
  <c r="O19" i="1" s="1"/>
  <c r="E66" i="1"/>
  <c r="N66" i="1" s="1"/>
  <c r="O66" i="1" s="1"/>
  <c r="E123" i="1"/>
  <c r="N123" i="1" s="1"/>
  <c r="O123" i="1" s="1"/>
  <c r="E56" i="1"/>
  <c r="N56" i="1" s="1"/>
  <c r="O56" i="1" s="1"/>
  <c r="E70" i="1"/>
  <c r="N70" i="1" s="1"/>
  <c r="O70" i="1" s="1"/>
  <c r="E54" i="1"/>
  <c r="N54" i="1" s="1"/>
  <c r="O54" i="1" s="1"/>
  <c r="E26" i="1"/>
  <c r="N26" i="1" s="1"/>
  <c r="O26" i="1" s="1"/>
  <c r="E74" i="1"/>
  <c r="N74" i="1" s="1"/>
  <c r="O74" i="1" s="1"/>
  <c r="E30" i="1"/>
  <c r="N30" i="1" s="1"/>
  <c r="O30" i="1" s="1"/>
  <c r="E108" i="1"/>
  <c r="N108" i="1" s="1"/>
  <c r="O108" i="1" s="1"/>
  <c r="E45" i="1"/>
  <c r="N45" i="1" s="1"/>
  <c r="O45" i="1" s="1"/>
  <c r="E117" i="1"/>
  <c r="N117" i="1" s="1"/>
  <c r="O117" i="1" s="1"/>
  <c r="E93" i="1"/>
  <c r="N93" i="1" s="1"/>
  <c r="O93" i="1" s="1"/>
  <c r="E62" i="1"/>
  <c r="N62" i="1" s="1"/>
  <c r="O62" i="1" s="1"/>
  <c r="E34" i="1"/>
  <c r="N34" i="1" s="1"/>
  <c r="O34" i="1" s="1"/>
  <c r="E18" i="1"/>
  <c r="N18" i="1" s="1"/>
  <c r="O18" i="1" s="1"/>
  <c r="E128" i="1"/>
  <c r="N128" i="1" s="1"/>
  <c r="O128" i="1" s="1"/>
  <c r="E113" i="1"/>
  <c r="N113" i="1" s="1"/>
  <c r="O113" i="1" s="1"/>
  <c r="E105" i="1"/>
  <c r="N105" i="1" s="1"/>
  <c r="O105" i="1" s="1"/>
  <c r="E92" i="1"/>
  <c r="N92" i="1" s="1"/>
  <c r="O92" i="1" s="1"/>
  <c r="E77" i="1"/>
  <c r="N77" i="1" s="1"/>
  <c r="O77" i="1" s="1"/>
  <c r="E69" i="1"/>
  <c r="N69" i="1" s="1"/>
  <c r="O69" i="1" s="1"/>
  <c r="E61" i="1"/>
  <c r="N61" i="1" s="1"/>
  <c r="O61" i="1" s="1"/>
  <c r="E53" i="1"/>
  <c r="N53" i="1" s="1"/>
  <c r="O53" i="1" s="1"/>
  <c r="E42" i="1"/>
  <c r="N42" i="1" s="1"/>
  <c r="O42" i="1" s="1"/>
  <c r="E33" i="1"/>
  <c r="N33" i="1" s="1"/>
  <c r="O33" i="1" s="1"/>
  <c r="E25" i="1"/>
  <c r="N25" i="1" s="1"/>
  <c r="O25" i="1" s="1"/>
  <c r="E15" i="1"/>
  <c r="N15" i="1" s="1"/>
  <c r="O15" i="1" s="1"/>
  <c r="E102" i="1"/>
  <c r="N102" i="1" s="1"/>
  <c r="O102" i="1" s="1"/>
  <c r="E38" i="1"/>
  <c r="N38" i="1" s="1"/>
  <c r="O38" i="1" s="1"/>
  <c r="E64" i="1"/>
  <c r="N64" i="1" s="1"/>
  <c r="O64" i="1" s="1"/>
  <c r="E28" i="1"/>
  <c r="N28" i="1" s="1"/>
  <c r="O28" i="1" s="1"/>
  <c r="E115" i="1"/>
  <c r="N115" i="1" s="1"/>
  <c r="O115" i="1" s="1"/>
  <c r="E127" i="1"/>
  <c r="N127" i="1" s="1"/>
  <c r="O127" i="1" s="1"/>
  <c r="E91" i="1"/>
  <c r="N91" i="1" s="1"/>
  <c r="O91" i="1" s="1"/>
  <c r="E68" i="1"/>
  <c r="N68" i="1" s="1"/>
  <c r="O68" i="1" s="1"/>
  <c r="E52" i="1"/>
  <c r="N52" i="1" s="1"/>
  <c r="O52" i="1" s="1"/>
  <c r="E32" i="1"/>
  <c r="N32" i="1" s="1"/>
  <c r="O32" i="1" s="1"/>
  <c r="E14" i="1"/>
  <c r="N14" i="1" s="1"/>
  <c r="O14" i="1" s="1"/>
  <c r="E89" i="1"/>
  <c r="N89" i="1" s="1"/>
  <c r="O89" i="1" s="1"/>
  <c r="E22" i="1"/>
  <c r="N22" i="1" s="1"/>
  <c r="O22" i="1" s="1"/>
  <c r="E87" i="1"/>
  <c r="N87" i="1" s="1"/>
  <c r="O87" i="1" s="1"/>
  <c r="E36" i="1"/>
  <c r="N36" i="1" s="1"/>
  <c r="O36" i="1" s="1"/>
  <c r="E130" i="1"/>
  <c r="N130" i="1" s="1"/>
  <c r="O130" i="1" s="1"/>
  <c r="E129" i="1"/>
  <c r="N129" i="1" s="1"/>
  <c r="O129" i="1" s="1"/>
  <c r="E78" i="1"/>
  <c r="N78" i="1" s="1"/>
  <c r="O78" i="1" s="1"/>
  <c r="E112" i="1"/>
  <c r="N112" i="1" s="1"/>
  <c r="O112" i="1" s="1"/>
  <c r="E104" i="1"/>
  <c r="N104" i="1" s="1"/>
  <c r="O104" i="1" s="1"/>
  <c r="E76" i="1"/>
  <c r="N76" i="1" s="1"/>
  <c r="O76" i="1" s="1"/>
  <c r="E60" i="1"/>
  <c r="N60" i="1" s="1"/>
  <c r="O60" i="1" s="1"/>
  <c r="E40" i="1"/>
  <c r="N40" i="1" s="1"/>
  <c r="O40" i="1" s="1"/>
  <c r="E24" i="1"/>
  <c r="N24" i="1" s="1"/>
  <c r="O24" i="1" s="1"/>
  <c r="E126" i="1"/>
  <c r="N126" i="1" s="1"/>
  <c r="O126" i="1" s="1"/>
  <c r="E111" i="1"/>
  <c r="N111" i="1" s="1"/>
  <c r="O111" i="1" s="1"/>
  <c r="E103" i="1"/>
  <c r="N103" i="1" s="1"/>
  <c r="O103" i="1" s="1"/>
  <c r="E90" i="1"/>
  <c r="N90" i="1" s="1"/>
  <c r="O90" i="1" s="1"/>
  <c r="E75" i="1"/>
  <c r="N75" i="1" s="1"/>
  <c r="O75" i="1" s="1"/>
  <c r="E67" i="1"/>
  <c r="N67" i="1" s="1"/>
  <c r="O67" i="1" s="1"/>
  <c r="E59" i="1"/>
  <c r="N59" i="1" s="1"/>
  <c r="O59" i="1" s="1"/>
  <c r="E50" i="1"/>
  <c r="N50" i="1" s="1"/>
  <c r="O50" i="1" s="1"/>
  <c r="E39" i="1"/>
  <c r="N39" i="1" s="1"/>
  <c r="O39" i="1" s="1"/>
  <c r="E31" i="1"/>
  <c r="N31" i="1" s="1"/>
  <c r="O31" i="1" s="1"/>
  <c r="E23" i="1"/>
  <c r="N23" i="1" s="1"/>
  <c r="O23" i="1" s="1"/>
  <c r="E13" i="1"/>
  <c r="N13" i="1" s="1"/>
  <c r="O13" i="1" s="1"/>
  <c r="E8" i="1"/>
  <c r="N8" i="1" s="1"/>
  <c r="O8" i="1" s="1"/>
  <c r="E6" i="1"/>
  <c r="N6" i="1" s="1"/>
  <c r="O6" i="1" s="1"/>
  <c r="E5" i="1"/>
  <c r="N5" i="1" s="1"/>
  <c r="O5" i="1" s="1"/>
  <c r="E7" i="1"/>
  <c r="N7" i="1" s="1"/>
  <c r="O7" i="1" s="1"/>
  <c r="E2" i="1"/>
  <c r="N2" i="1" s="1"/>
  <c r="P2" i="1" s="1"/>
  <c r="E4" i="1"/>
  <c r="N4" i="1" s="1"/>
  <c r="O4" i="1" s="1"/>
  <c r="E10" i="1"/>
  <c r="N10" i="1" s="1"/>
  <c r="O10" i="1" s="1"/>
  <c r="E3" i="1"/>
  <c r="N3" i="1" s="1"/>
  <c r="O3" i="1" s="1"/>
  <c r="E9" i="1"/>
  <c r="N9" i="1" s="1"/>
  <c r="O9" i="1" s="1"/>
  <c r="E11" i="1"/>
  <c r="N11" i="1" s="1"/>
  <c r="O11" i="1" s="1"/>
  <c r="E65" i="1"/>
  <c r="N65" i="1" s="1"/>
  <c r="O65" i="1" s="1"/>
  <c r="E43" i="1"/>
  <c r="N43" i="1" s="1"/>
  <c r="O43" i="1" s="1"/>
  <c r="E21" i="1"/>
  <c r="N21" i="1" s="1"/>
  <c r="O21" i="1" s="1"/>
  <c r="E95" i="1"/>
  <c r="N95" i="1" s="1"/>
  <c r="O95" i="1" s="1"/>
  <c r="E20" i="1"/>
  <c r="N20" i="1" s="1"/>
  <c r="O20" i="1" s="1"/>
  <c r="E106" i="1"/>
  <c r="N106" i="1" s="1"/>
  <c r="O106" i="1" s="1"/>
  <c r="E86" i="1"/>
  <c r="N86" i="1" s="1"/>
  <c r="O86" i="1" s="1"/>
  <c r="S17" i="1"/>
  <c r="P17" i="1"/>
  <c r="Q17" i="1" s="1"/>
  <c r="S49" i="1"/>
  <c r="P49" i="1"/>
  <c r="Q49" i="1" s="1"/>
  <c r="S118" i="1"/>
  <c r="P118" i="1"/>
  <c r="Q118" i="1" s="1"/>
  <c r="S16" i="1"/>
  <c r="P16" i="1"/>
  <c r="Q16" i="1" s="1"/>
  <c r="S119" i="1"/>
  <c r="P119" i="1"/>
  <c r="Q119" i="1" s="1"/>
  <c r="S116" i="1"/>
  <c r="P116" i="1"/>
  <c r="Q116" i="1" s="1"/>
  <c r="S80" i="1"/>
  <c r="P80" i="1"/>
  <c r="Q80" i="1" s="1"/>
  <c r="S48" i="1"/>
  <c r="P48" i="1"/>
  <c r="Q48" i="1" s="1"/>
  <c r="S79" i="1"/>
  <c r="P79" i="1"/>
  <c r="Q79" i="1" s="1"/>
  <c r="S41" i="1"/>
  <c r="P41" i="1"/>
  <c r="Q41" i="1" s="1"/>
  <c r="O2" i="1" l="1"/>
  <c r="Q2" i="1"/>
  <c r="S109" i="1"/>
  <c r="P109" i="1"/>
  <c r="Q109" i="1" s="1"/>
  <c r="S47" i="1"/>
  <c r="P47" i="1"/>
  <c r="Q47" i="1" s="1"/>
  <c r="S38" i="1"/>
  <c r="P38" i="1"/>
  <c r="Q38" i="1" s="1"/>
  <c r="S24" i="1"/>
  <c r="P24" i="1"/>
  <c r="Q24" i="1" s="1"/>
  <c r="S124" i="1"/>
  <c r="P124" i="1"/>
  <c r="Q124" i="1" s="1"/>
  <c r="S69" i="1"/>
  <c r="P69" i="1"/>
  <c r="Q69" i="1" s="1"/>
  <c r="S20" i="1"/>
  <c r="P20" i="1"/>
  <c r="Q20" i="1" s="1"/>
  <c r="S4" i="1"/>
  <c r="P4" i="1"/>
  <c r="Q4" i="1" s="1"/>
  <c r="S43" i="1"/>
  <c r="P43" i="1"/>
  <c r="Q43" i="1" s="1"/>
  <c r="S72" i="1"/>
  <c r="P72" i="1"/>
  <c r="Q72" i="1" s="1"/>
  <c r="S89" i="1"/>
  <c r="P89" i="1"/>
  <c r="Q89" i="1" s="1"/>
  <c r="S5" i="1"/>
  <c r="P5" i="1"/>
  <c r="Q5" i="1" s="1"/>
  <c r="S75" i="1"/>
  <c r="P75" i="1"/>
  <c r="Q75" i="1" s="1"/>
  <c r="S32" i="1"/>
  <c r="P32" i="1"/>
  <c r="Q32" i="1" s="1"/>
  <c r="S112" i="1"/>
  <c r="P112" i="1"/>
  <c r="Q112" i="1" s="1"/>
  <c r="S22" i="1"/>
  <c r="P22" i="1"/>
  <c r="Q22" i="1" s="1"/>
  <c r="S7" i="1"/>
  <c r="P7" i="1"/>
  <c r="Q7" i="1" s="1"/>
  <c r="S77" i="1"/>
  <c r="P77" i="1"/>
  <c r="Q77" i="1" s="1"/>
  <c r="S27" i="1"/>
  <c r="P27" i="1"/>
  <c r="Q27" i="1" s="1"/>
  <c r="S45" i="1"/>
  <c r="P45" i="1"/>
  <c r="Q45" i="1" s="1"/>
  <c r="S30" i="1"/>
  <c r="P30" i="1"/>
  <c r="Q30" i="1" s="1"/>
  <c r="S54" i="1"/>
  <c r="P54" i="1"/>
  <c r="Q54" i="1" s="1"/>
  <c r="S71" i="1"/>
  <c r="P71" i="1"/>
  <c r="Q71" i="1" s="1"/>
  <c r="S123" i="1"/>
  <c r="P123" i="1"/>
  <c r="Q123" i="1" s="1"/>
  <c r="S2" i="1"/>
  <c r="S13" i="1"/>
  <c r="P13" i="1"/>
  <c r="Q13" i="1" s="1"/>
  <c r="S90" i="1"/>
  <c r="P90" i="1"/>
  <c r="Q90" i="1" s="1"/>
  <c r="S40" i="1"/>
  <c r="P40" i="1"/>
  <c r="Q40" i="1" s="1"/>
  <c r="S127" i="1"/>
  <c r="P127" i="1"/>
  <c r="Q127" i="1" s="1"/>
  <c r="S58" i="1"/>
  <c r="P58" i="1"/>
  <c r="Q58" i="1" s="1"/>
  <c r="S61" i="1"/>
  <c r="P61" i="1"/>
  <c r="Q61" i="1" s="1"/>
  <c r="S129" i="1"/>
  <c r="P129" i="1"/>
  <c r="Q129" i="1" s="1"/>
  <c r="S67" i="1"/>
  <c r="P67" i="1"/>
  <c r="Q67" i="1" s="1"/>
  <c r="S104" i="1"/>
  <c r="P104" i="1"/>
  <c r="Q104" i="1" s="1"/>
  <c r="S19" i="1"/>
  <c r="P19" i="1"/>
  <c r="Q19" i="1" s="1"/>
  <c r="S55" i="1"/>
  <c r="P55" i="1"/>
  <c r="Q55" i="1" s="1"/>
  <c r="S15" i="1"/>
  <c r="P15" i="1"/>
  <c r="Q15" i="1" s="1"/>
  <c r="S92" i="1"/>
  <c r="P92" i="1"/>
  <c r="Q92" i="1" s="1"/>
  <c r="S35" i="1"/>
  <c r="P35" i="1"/>
  <c r="Q35" i="1" s="1"/>
  <c r="S87" i="1"/>
  <c r="P87" i="1"/>
  <c r="Q87" i="1" s="1"/>
  <c r="S74" i="1"/>
  <c r="P74" i="1"/>
  <c r="Q74" i="1" s="1"/>
  <c r="S62" i="1"/>
  <c r="P62" i="1"/>
  <c r="Q62" i="1" s="1"/>
  <c r="S94" i="1"/>
  <c r="P94" i="1"/>
  <c r="Q94" i="1" s="1"/>
  <c r="S29" i="1"/>
  <c r="P29" i="1"/>
  <c r="Q29" i="1" s="1"/>
  <c r="S88" i="1"/>
  <c r="P88" i="1"/>
  <c r="Q88" i="1" s="1"/>
  <c r="S23" i="1"/>
  <c r="P23" i="1"/>
  <c r="Q23" i="1" s="1"/>
  <c r="S103" i="1"/>
  <c r="P103" i="1"/>
  <c r="Q103" i="1" s="1"/>
  <c r="S52" i="1"/>
  <c r="P52" i="1"/>
  <c r="Q52" i="1" s="1"/>
  <c r="S64" i="1"/>
  <c r="P64" i="1"/>
  <c r="Q64" i="1" s="1"/>
  <c r="S110" i="1"/>
  <c r="P110" i="1"/>
  <c r="Q110" i="1" s="1"/>
  <c r="S130" i="1"/>
  <c r="P130" i="1"/>
  <c r="Q130" i="1" s="1"/>
  <c r="S56" i="1"/>
  <c r="P56" i="1"/>
  <c r="Q56" i="1" s="1"/>
  <c r="S105" i="1"/>
  <c r="P105" i="1"/>
  <c r="Q105" i="1" s="1"/>
  <c r="S108" i="1"/>
  <c r="P108" i="1"/>
  <c r="Q108" i="1" s="1"/>
  <c r="S70" i="1"/>
  <c r="P70" i="1"/>
  <c r="Q70" i="1" s="1"/>
  <c r="S46" i="1"/>
  <c r="P46" i="1"/>
  <c r="Q46" i="1" s="1"/>
  <c r="S31" i="1"/>
  <c r="P31" i="1"/>
  <c r="Q31" i="1" s="1"/>
  <c r="S60" i="1"/>
  <c r="P60" i="1"/>
  <c r="Q60" i="1" s="1"/>
  <c r="S113" i="1"/>
  <c r="P113" i="1"/>
  <c r="Q113" i="1" s="1"/>
  <c r="S11" i="1"/>
  <c r="P11" i="1"/>
  <c r="Q11" i="1" s="1"/>
  <c r="S78" i="1"/>
  <c r="P78" i="1"/>
  <c r="Q78" i="1" s="1"/>
  <c r="S101" i="1"/>
  <c r="P101" i="1"/>
  <c r="Q101" i="1" s="1"/>
  <c r="S39" i="1"/>
  <c r="P39" i="1"/>
  <c r="Q39" i="1" s="1"/>
  <c r="S68" i="1"/>
  <c r="P68" i="1"/>
  <c r="Q68" i="1" s="1"/>
  <c r="S42" i="1"/>
  <c r="P42" i="1"/>
  <c r="Q42" i="1" s="1"/>
  <c r="S86" i="1"/>
  <c r="P86" i="1"/>
  <c r="Q86" i="1" s="1"/>
  <c r="S18" i="1"/>
  <c r="P18" i="1"/>
  <c r="Q18" i="1" s="1"/>
  <c r="S93" i="1"/>
  <c r="P93" i="1"/>
  <c r="Q93" i="1" s="1"/>
  <c r="S28" i="1"/>
  <c r="P28" i="1"/>
  <c r="Q28" i="1" s="1"/>
  <c r="S132" i="1"/>
  <c r="P132" i="1"/>
  <c r="Q132" i="1" s="1"/>
  <c r="S66" i="1"/>
  <c r="P66" i="1"/>
  <c r="Q66" i="1" s="1"/>
  <c r="S50" i="1"/>
  <c r="P50" i="1"/>
  <c r="Q50" i="1" s="1"/>
  <c r="S6" i="1"/>
  <c r="P6" i="1"/>
  <c r="Q6" i="1" s="1"/>
  <c r="S76" i="1"/>
  <c r="P76" i="1"/>
  <c r="Q76" i="1" s="1"/>
  <c r="S3" i="1"/>
  <c r="P3" i="1"/>
  <c r="Q3" i="1" s="1"/>
  <c r="S9" i="1"/>
  <c r="P9" i="1"/>
  <c r="Q9" i="1" s="1"/>
  <c r="S34" i="1"/>
  <c r="P34" i="1"/>
  <c r="Q34" i="1" s="1"/>
  <c r="S25" i="1"/>
  <c r="P25" i="1"/>
  <c r="Q25" i="1" s="1"/>
  <c r="S44" i="1"/>
  <c r="P44" i="1"/>
  <c r="Q44" i="1" s="1"/>
  <c r="S125" i="1"/>
  <c r="P125" i="1"/>
  <c r="Q125" i="1" s="1"/>
  <c r="S117" i="1"/>
  <c r="P117" i="1"/>
  <c r="Q117" i="1" s="1"/>
  <c r="S102" i="1"/>
  <c r="P102" i="1"/>
  <c r="Q102" i="1" s="1"/>
  <c r="S111" i="1"/>
  <c r="P111" i="1"/>
  <c r="Q111" i="1" s="1"/>
  <c r="S95" i="1"/>
  <c r="P95" i="1"/>
  <c r="Q95" i="1" s="1"/>
  <c r="S33" i="1"/>
  <c r="P33" i="1"/>
  <c r="Q33" i="1" s="1"/>
  <c r="S63" i="1"/>
  <c r="P63" i="1"/>
  <c r="Q63" i="1" s="1"/>
  <c r="S8" i="1"/>
  <c r="P8" i="1"/>
  <c r="Q8" i="1" s="1"/>
  <c r="S10" i="1"/>
  <c r="P10" i="1"/>
  <c r="Q10" i="1" s="1"/>
  <c r="S73" i="1"/>
  <c r="P73" i="1"/>
  <c r="Q73" i="1" s="1"/>
  <c r="S126" i="1"/>
  <c r="P126" i="1"/>
  <c r="Q126" i="1" s="1"/>
  <c r="S131" i="1"/>
  <c r="P131" i="1"/>
  <c r="Q131" i="1" s="1"/>
  <c r="S128" i="1"/>
  <c r="P128" i="1"/>
  <c r="Q128" i="1" s="1"/>
  <c r="S37" i="1"/>
  <c r="P37" i="1"/>
  <c r="Q37" i="1" s="1"/>
  <c r="S53" i="1"/>
  <c r="P53" i="1"/>
  <c r="Q53" i="1" s="1"/>
  <c r="S115" i="1"/>
  <c r="P115" i="1"/>
  <c r="Q115" i="1" s="1"/>
  <c r="S107" i="1"/>
  <c r="P107" i="1"/>
  <c r="Q107" i="1" s="1"/>
  <c r="S57" i="1"/>
  <c r="P57" i="1"/>
  <c r="Q57" i="1" s="1"/>
  <c r="S26" i="1"/>
  <c r="P26" i="1"/>
  <c r="Q26" i="1" s="1"/>
  <c r="S106" i="1"/>
  <c r="P106" i="1"/>
  <c r="Q106" i="1" s="1"/>
  <c r="S36" i="1"/>
  <c r="P36" i="1"/>
  <c r="Q36" i="1" s="1"/>
  <c r="S12" i="1"/>
  <c r="P12" i="1"/>
  <c r="Q12" i="1" s="1"/>
  <c r="S21" i="1"/>
  <c r="P21" i="1"/>
  <c r="Q21" i="1" s="1"/>
  <c r="S59" i="1"/>
  <c r="P59" i="1"/>
  <c r="Q59" i="1" s="1"/>
  <c r="S14" i="1"/>
  <c r="P14" i="1"/>
  <c r="Q14" i="1" s="1"/>
  <c r="S91" i="1"/>
  <c r="P91" i="1"/>
  <c r="Q91" i="1" s="1"/>
  <c r="S65" i="1"/>
  <c r="P65" i="1"/>
  <c r="Q65" i="1" s="1"/>
</calcChain>
</file>

<file path=xl/sharedStrings.xml><?xml version="1.0" encoding="utf-8"?>
<sst xmlns="http://schemas.openxmlformats.org/spreadsheetml/2006/main" count="3809" uniqueCount="1576">
  <si>
    <t>Sr. No.</t>
  </si>
  <si>
    <t>Search Terms</t>
  </si>
  <si>
    <t>Llyod</t>
  </si>
  <si>
    <t>AC</t>
  </si>
  <si>
    <t>Whirlpool</t>
  </si>
  <si>
    <t>Voltas</t>
  </si>
  <si>
    <t>Godrej</t>
  </si>
  <si>
    <t>Kelvinator</t>
  </si>
  <si>
    <t>Cruise</t>
  </si>
  <si>
    <t>Videocon</t>
  </si>
  <si>
    <t>Kenstar</t>
  </si>
  <si>
    <t>Onida</t>
  </si>
  <si>
    <t>Carrier</t>
  </si>
  <si>
    <t>Koryo</t>
  </si>
  <si>
    <t>Hyundai</t>
  </si>
  <si>
    <t>Totalline</t>
  </si>
  <si>
    <t>Sansui</t>
  </si>
  <si>
    <t>Aux</t>
  </si>
  <si>
    <t>Azure</t>
  </si>
  <si>
    <t>Bluestar</t>
  </si>
  <si>
    <t>Daikin</t>
  </si>
  <si>
    <t>Electrolux</t>
  </si>
  <si>
    <t>Haier</t>
  </si>
  <si>
    <t>Hitachi</t>
  </si>
  <si>
    <t>IFB</t>
  </si>
  <si>
    <t>LG</t>
  </si>
  <si>
    <t>Midea</t>
  </si>
  <si>
    <t>Mitsubishi</t>
  </si>
  <si>
    <t>Neurofuzzy</t>
  </si>
  <si>
    <t>O General</t>
  </si>
  <si>
    <t>Panasonic</t>
  </si>
  <si>
    <t>Samsung</t>
  </si>
  <si>
    <t>Reconnect</t>
  </si>
  <si>
    <t>Sharp</t>
  </si>
  <si>
    <t>TCL</t>
  </si>
  <si>
    <t>Toshiba</t>
  </si>
  <si>
    <t>Vestar</t>
  </si>
  <si>
    <t>York</t>
  </si>
  <si>
    <t>Camipro</t>
  </si>
  <si>
    <t>Intex</t>
  </si>
  <si>
    <t>Weston</t>
  </si>
  <si>
    <t>Sony</t>
  </si>
  <si>
    <t>Akai</t>
  </si>
  <si>
    <t>Vu</t>
  </si>
  <si>
    <t>AOC</t>
  </si>
  <si>
    <t>Funai</t>
  </si>
  <si>
    <t>Futec</t>
  </si>
  <si>
    <t>Genus</t>
  </si>
  <si>
    <t>Micromax</t>
  </si>
  <si>
    <t>Mitashi</t>
  </si>
  <si>
    <t>Philips</t>
  </si>
  <si>
    <t>BPL</t>
  </si>
  <si>
    <t>GTPL</t>
  </si>
  <si>
    <t>Airtel</t>
  </si>
  <si>
    <t>DishTV</t>
  </si>
  <si>
    <t>Den</t>
  </si>
  <si>
    <t>BigTV</t>
  </si>
  <si>
    <t>Hathway</t>
  </si>
  <si>
    <t>SSDN</t>
  </si>
  <si>
    <t>OCC</t>
  </si>
  <si>
    <t>Sun Direct</t>
  </si>
  <si>
    <t>Siti Cable</t>
  </si>
  <si>
    <t>NXT Digital</t>
  </si>
  <si>
    <t>Tata Sky</t>
  </si>
  <si>
    <t>All in One</t>
  </si>
  <si>
    <t>Beston</t>
  </si>
  <si>
    <t>Cemex</t>
  </si>
  <si>
    <t>Conic</t>
  </si>
  <si>
    <t>Amstrad</t>
  </si>
  <si>
    <t>Vise</t>
  </si>
  <si>
    <t>Nitoshi</t>
  </si>
  <si>
    <t>Marq</t>
  </si>
  <si>
    <t>MCBS</t>
  </si>
  <si>
    <t>Videocon DDB</t>
  </si>
  <si>
    <t>Mitsun</t>
  </si>
  <si>
    <t>bullet_point3</t>
  </si>
  <si>
    <t>Compatible with Bluestar AC Remote Control (Same Model Only)</t>
  </si>
  <si>
    <t>Compatible with Voltas AC Remote Control (Same Model Only)</t>
  </si>
  <si>
    <t>Compatible with Electrolux AC Remote Control (Same Model Only)</t>
  </si>
  <si>
    <t>Compatible with Videocon LCD/LED TV Remote Control  (Same Model Only)</t>
  </si>
  <si>
    <t>Compatible with LG AC Remote Control   (Same Model Only)</t>
  </si>
  <si>
    <t>Compatible with Onida AC Remote Control  (Same Model Only)</t>
  </si>
  <si>
    <t>Compatible with Bluestar AC Remote Control   (Same Model Only)</t>
  </si>
  <si>
    <t>Compatible with Videocon D2H &amp; LCD Combined, DDB Set Top Box Remote Control (Same Model Only)</t>
  </si>
  <si>
    <t>Compatible with Aux AC Remote Control   (Same Model Only)</t>
  </si>
  <si>
    <t>Compatible with Mitsubishi AC Remote Control  (Same Model Only)</t>
  </si>
  <si>
    <t>Compatible with Godrej AC Remote Control  (Same Model Only)</t>
  </si>
  <si>
    <t>Compatible with Tata Sky SD/HD/HD+/4K DTH Set Top Box Remote Control(Pairing Required to Sync TV Functions)</t>
  </si>
  <si>
    <t>Compatible with GTPL Set Top Box Remote Control (Same Model Only)</t>
  </si>
  <si>
    <t>Compatible with DishTV Zenega-4 DTH Remote Control (Same Model Only)</t>
  </si>
  <si>
    <t>Compatible with DishTV SD/HD Set Top Box Remote Control (Same Model Only)</t>
  </si>
  <si>
    <t>Compatible with DishTV+ HD Set Top Box Remote (Same Model Only)</t>
  </si>
  <si>
    <t>Compatible with Videocon D2H Set Top Box Remote  (Same Model Only)</t>
  </si>
  <si>
    <t>Compatible with Sony Bravia LCD/LED TV Remote Control (Same Model Only)</t>
  </si>
  <si>
    <t>Compatible with Sony LCD/LED TV Remote Control (Same Model Only)</t>
  </si>
  <si>
    <t>Compatible with Samsung LCD/LED TV Remote Control (Same Model Only)</t>
  </si>
  <si>
    <t>Compatible with GTPL HD Set Top Box Remote Control (Same Model Only)</t>
  </si>
  <si>
    <t>Compatible with LG LCD/LED TV Remote Control (Same Model Only)</t>
  </si>
  <si>
    <t>Compatible with LG LCD/LED/3D Plasma TV Remote Control (Same Model Only)</t>
  </si>
  <si>
    <t>Compatible with Panasonic LCD/LED TV Remote Control (Same Model Only)</t>
  </si>
  <si>
    <t>Compatible with Videocon and Sansui LCD/LED TV Remote Control (Same Model Only)</t>
  </si>
  <si>
    <t>Compatible with Philips LCD/LED Remote Control (Same Model Only)</t>
  </si>
  <si>
    <t>Compatible with Philips LCD/LED TV Remote Control (Same Model Only)</t>
  </si>
  <si>
    <t>Compatible with Philips DVD and Home Theatre System Remote Control (Same Model Only)</t>
  </si>
  <si>
    <t>Compatible with Onida LCD/LED TV Remote Control (Same Model Only)</t>
  </si>
  <si>
    <t>Compatible with Onida CRT TV Remote Control (Same Model Only)</t>
  </si>
  <si>
    <t>Compatible with Hathway Set Top Box Remote Control (Same Model Only)</t>
  </si>
  <si>
    <t>Compatible with Onida AC Remote Control (Same Model Only)</t>
  </si>
  <si>
    <t>Compatible with LG AC Remote Control (Same Model Only)</t>
  </si>
  <si>
    <t>Compatible with Samsung AC Remote Control  (Same Model Only)</t>
  </si>
  <si>
    <t>Compatible with Samsung AC Remote Control (Same Model Only)</t>
  </si>
  <si>
    <t>Compatible with Panasonic AC Remote Control (Same Model Only)</t>
  </si>
  <si>
    <t>Compatible with Mitsubishi AC Remote Control (Same Model Only)</t>
  </si>
  <si>
    <t>Compatible with Hitachi AC Remote Control (Same Model Only)</t>
  </si>
  <si>
    <t>Compatible with Den Set Top Box Remote Control (Same Model Only)</t>
  </si>
  <si>
    <t>Compatible with Hitachi AC Remote Control  (Same Model Only)</t>
  </si>
  <si>
    <t>Compatible with Haier AC Remote Control (Same Model Only)</t>
  </si>
  <si>
    <t>Compatible with Window/Split O General AC Remote Control (Same Model Only)</t>
  </si>
  <si>
    <t>Compatible with O General AC Remote Control  (Same Model Only)</t>
  </si>
  <si>
    <t>Compatible with TCL AC Remote Control  (Same Model Only)</t>
  </si>
  <si>
    <t>Compatible with Voltas and Lloyd AC Remote Control (Same Model Only)</t>
  </si>
  <si>
    <t>Compatible with Videocon and Electrolux AC Remote Control (Same Model Only)</t>
  </si>
  <si>
    <t>Compatible with Daikin AC Remote Control  (Same Model Only)</t>
  </si>
  <si>
    <t>Compatible with Carrier AC Remote Control  (Same Model Only)</t>
  </si>
  <si>
    <t>Compatible with Whirlpool AC Remote Control  (Same Model Only)</t>
  </si>
  <si>
    <t>Compatible with Airtel DTH Set Top Box Remote (Pairing Required to Sync TV Functions)</t>
  </si>
  <si>
    <t>Compatible with Tata Sky SD/HD/HD+/4K DTH Set Top Box Remote Control</t>
  </si>
  <si>
    <t>Compatible with Haier AC Remote Control  (Same Model Only)</t>
  </si>
  <si>
    <t>Compatible with Voltas AC Remote Control  (Same Model Only)</t>
  </si>
  <si>
    <t>Compatible with LG AC Remote Control  (Same Model Only)</t>
  </si>
  <si>
    <t>Compatible with Azure AC Remote Control  (Same Model Only)</t>
  </si>
  <si>
    <t>Compatible with York AC Remote Control  (Same Model Only)</t>
  </si>
  <si>
    <t>Compatible with Vestar AC Remote Control  (Same Model Only)</t>
  </si>
  <si>
    <t>Compatible with Toshiba AC Remote Control (Same Model Only)</t>
  </si>
  <si>
    <t>Compatible with Kelvinator AC Remote Control  (Same Model Only)</t>
  </si>
  <si>
    <t>Compatible with Toshiba AC Remote Control  (Same Model Only)</t>
  </si>
  <si>
    <t>Compatible with Carrier AC Remote ControlModel   (Same Model Only)</t>
  </si>
  <si>
    <t>Compatible with Whirlpool 3D Auto AC Remote Control  (Same Model Only)</t>
  </si>
  <si>
    <t>Compatible with Hisense AC Remote Control (Same Model Only)</t>
  </si>
  <si>
    <t>Compatible with Daikin &amp; Daikin Inverter AC Remote Control  (Same Model Only)</t>
  </si>
  <si>
    <t>Compatible with Bluestar AC Remote Control  (Same Model Only)</t>
  </si>
  <si>
    <t>Compatible with Midea AC Remote Control (Same Model Only)</t>
  </si>
  <si>
    <t>Compatible with IFB AC Remote Control  (Same Model Only)</t>
  </si>
  <si>
    <t>Compatible with O General Long AC Remote Control  (Same Model Only)</t>
  </si>
  <si>
    <t>Compatible with Sharp AC Remote Control  (Same Model Only)</t>
  </si>
  <si>
    <t>Compatible with Panasonic &amp; Panasonic Inverter AC Remote Control (Same Model Only)</t>
  </si>
  <si>
    <t>Compatible with Llyod AC Remote Control  (Same Model Only)</t>
  </si>
  <si>
    <t>Compatible with Llyod AC Remote Control (Same Model Only)</t>
  </si>
  <si>
    <t>Compatible with Aux AC Remote Control (Same Model Only)</t>
  </si>
  <si>
    <t>Compatible with Mitashi LED Remote Control (Same Model Only)</t>
  </si>
  <si>
    <t>Compatible with Micromax Reconnect LED Remote Control (Same Model Only)</t>
  </si>
  <si>
    <t>Compatible with Funai LCD Remote Control (Same Model Only)</t>
  </si>
  <si>
    <t>Compatible with Philips LCD/LED TV Remote Control  (Same Model Only)</t>
  </si>
  <si>
    <t>Compatible with Panasonic AC Remote Control  (Same Model Only)</t>
  </si>
  <si>
    <t>Compatible with Sansui LCD/LED TV Remote Control (Same Model Only)</t>
  </si>
  <si>
    <t>Compatible with Intex LCD/LED TV Remote Control (Same Model Only)</t>
  </si>
  <si>
    <t>Compatible with Sony Smart LCD/LED TV Remote Control (Same Model Only)</t>
  </si>
  <si>
    <t>Compatible with Vu LCD/LED TV Remote Control  (Same Model Only)</t>
  </si>
  <si>
    <t>Compatible with Sony Car Stereo Remote Control (Same Model Only)</t>
  </si>
  <si>
    <t>Compatible with Aux AC Remote Control  (Same Model Only)</t>
  </si>
  <si>
    <t>Compatible with Reliance Reconnect AC Remote Control  (Same Model Only)</t>
  </si>
  <si>
    <t>Compatible with Reconnect AC Remote Control  (Same Model Only)</t>
  </si>
  <si>
    <t>Compatible with Samsung &amp; Samsung Inverter AC Remote Control  (Same Model Only)</t>
  </si>
  <si>
    <t>Compatible with Videocon AC Remote Control  (Same Model Only)</t>
  </si>
  <si>
    <t>Compatible with Electrolux AC Remote Control  (Same Model Only)</t>
  </si>
  <si>
    <t>Compatible with Cruise AC Remote Control  (Same Model Only)</t>
  </si>
  <si>
    <t>Compatible with Micromax AC Remote Control  (Same Model Only)</t>
  </si>
  <si>
    <t>Compatible with Microcool AC Remote Control  (Same Model Only)</t>
  </si>
  <si>
    <t>Compatible with Marq AC Remote Control  (Same Model Only)</t>
  </si>
  <si>
    <t>Compatible with Napoleon AC Remote Control  (Same Model Only)</t>
  </si>
  <si>
    <t>Compatible with Lloyd AC Remote Control  (Same Model Only)</t>
  </si>
  <si>
    <t>Compatible with Sun Direct DTH Remote Control (Same Model Only)</t>
  </si>
  <si>
    <t>Compatible with Big TV Set Top Box Remote Control (Same Model Only)</t>
  </si>
  <si>
    <t>Compatible with Sansui Satellite Box (Inbuilt) and LED/LCD TV with 3D Supported Remote Control (Same Model Only)</t>
  </si>
  <si>
    <t>Compatible with Den HD Set Top Box Remote Control (Same Model Only)</t>
  </si>
  <si>
    <t>Compatible with In Cable Set Top Box Remote Control (Same Model Only)</t>
  </si>
  <si>
    <t>Compatible with NXT Digital Set Top Box Remote Control (Same Model Only)</t>
  </si>
  <si>
    <t>Compatible with OCC Set Top Box Remote Control (Same Model Only)</t>
  </si>
  <si>
    <t>Compatible with Siti Cable HD Set Top Box Remote Control (Same Model Only)</t>
  </si>
  <si>
    <t>Compatible with Siti Cable Set Top Box Remote Control (Same Model Only)</t>
  </si>
  <si>
    <t>Compatible with SSDN Set Top Box Remote Control (Same Model Only)</t>
  </si>
  <si>
    <t>Compatible with Videocon D2H Satellite Box (Same Model Only)</t>
  </si>
  <si>
    <t>Compatible with Akai LCD/LED TV Remote Control  (Same Model Only)</t>
  </si>
  <si>
    <t>Compatible with Futec LCD/LED TV Remote Control (Same Model Only)</t>
  </si>
  <si>
    <t>Compatible with Genus LCD/LED TV Remote Control  (Same Model Only)</t>
  </si>
  <si>
    <t>Compatible with Haier LCD/LED TV Remote Control  (Same Model Only)</t>
  </si>
  <si>
    <t>Compatible with Intex LCD/LED TV Remote Control  (Same Model Only)</t>
  </si>
  <si>
    <t>Compatible with LG LCD/LED Plasma TV Remote Control (Same Model Only)</t>
  </si>
  <si>
    <t>Compatible with LG LCD/LED/Plasma TV Remote Control (Same Model Only)</t>
  </si>
  <si>
    <t>Compatible with Llyod LCD/LED TV Remote Control  (Same Model Only)</t>
  </si>
  <si>
    <t>Compatible with Micromax LCD/LED TV Remote Control  (Same Model Only)</t>
  </si>
  <si>
    <t>Compatible with Panasonic LCD/LED TV Remote Control  (Same Model Only)</t>
  </si>
  <si>
    <t>Compatible with Reconnect LCD/LED TV Remote Control  (Same Model Only)</t>
  </si>
  <si>
    <t>Compatible with Samsung LCD/LED TV Remote Control  (Same Model Only)</t>
  </si>
  <si>
    <t>Compatible with Sharp LCD/LED TV Remote Control  (Same Model Only)</t>
  </si>
  <si>
    <t>Compatible with Toshiba LCD/LED TV Remote Control (Same Model Only)</t>
  </si>
  <si>
    <t>Compatible with AOC LCD/LED TV Remote Control  (Same Model Only)</t>
  </si>
  <si>
    <t>Compatible with Hisense LCD/LED TV Remote Control  (Same Model Only)</t>
  </si>
  <si>
    <t>Compatible with Aura AC Remote Control  (Same Model Only)</t>
  </si>
  <si>
    <t>Compatible with Midea AC Remote Control  (Same Model Only)</t>
  </si>
  <si>
    <t>Compatible with Neurofuzzy AC Remote Control  (Same Model Only)</t>
  </si>
  <si>
    <t>Compatible with Videocon AC Remote Control (Same Model Only)</t>
  </si>
  <si>
    <t>Compatible with Voltas AC Remote ControlModel  (Same Model Only)</t>
  </si>
  <si>
    <t>Compatible with Whirlpool and Godrej AC Remote Control  (Same Model Only)</t>
  </si>
  <si>
    <t>Compatible with Panasonic Inverter AC Remote Control  (Same Model Only)</t>
  </si>
  <si>
    <t>Compatible with Voltas Turbo AC Remote Control  (Same Model Only)</t>
  </si>
  <si>
    <t>Compatible with TCL and Videocon AC Remote Control  (Same Model Only)</t>
  </si>
  <si>
    <t>Compatible with Onida and Cruise AC Remote Control  (Same Model Only)</t>
  </si>
  <si>
    <t>Compatible with Voltas and Videocon AC Remote Control  (Same Model Only)</t>
  </si>
  <si>
    <t>Compatible with Bluestar and Llyod AC Remote Control  (Same Model Only)</t>
  </si>
  <si>
    <t>Compatible with Carrier AC Remote Control (Same Model Only)</t>
  </si>
  <si>
    <t>Compatible with Tata Sky SD/HD/HD+/4K DTH Set Top Box Remote (Pairing Required to Sync TV Functions)</t>
  </si>
  <si>
    <t>Compatible with Videocon D2H Set Top Box Remote Control (Same Model Only)</t>
  </si>
  <si>
    <t>Compatible with Totalline AC Remote Control  (Same Model Only)</t>
  </si>
  <si>
    <t>Compatible with Kenstar AC Remote Control  (Same Model Only)</t>
  </si>
  <si>
    <t>Compatible with Croma AC Remote Control (Same Model Only)</t>
  </si>
  <si>
    <t>Compatible with Whirlpool AC Remote Control (Same Model Only)</t>
  </si>
  <si>
    <t>Compatible with Godrej AC Remote Control (Same Model Only)</t>
  </si>
  <si>
    <t>Compatible with Kelvinator AC Remote Control (Same Model Only)</t>
  </si>
  <si>
    <t>Compatible with Cruise AC Remote Control (Same Model Only)</t>
  </si>
  <si>
    <t>Compatible with Kenstar AC Remote Control (Same Model Only)</t>
  </si>
  <si>
    <t>Compatible with Napolean AC Remote Control (Same Model Only)</t>
  </si>
  <si>
    <t>Compatible with Koryo AC Remote Control (Same Model Only)</t>
  </si>
  <si>
    <t>Compatible with Hyundai AC Remote Control (Same Model Only)</t>
  </si>
  <si>
    <t>Compatible with Totalline AC Remote Control (Same Model Only)</t>
  </si>
  <si>
    <t>Compatible with TCL AC Remote Control (Same Model Only)</t>
  </si>
  <si>
    <t>Compatible with Reconnect AC Remote Control (Same Model Only)</t>
  </si>
  <si>
    <t>Compatible with Sansui AC Remote Control (Same Model Only)</t>
  </si>
  <si>
    <t>Compatible with Camipro AC Remote Control (Same Model Only)</t>
  </si>
  <si>
    <t>Compatible with Weston LCD/LED Remote Control (Same Model Only)</t>
  </si>
  <si>
    <t>Compatible with Koryo LCD/LED Remote Control (Same Model Only)</t>
  </si>
  <si>
    <t>Compatible with Azure AC Remote Control (Same Model Only)</t>
  </si>
  <si>
    <t>Compatible with Vise AC Remote Control (Same Model Only)</t>
  </si>
  <si>
    <t>Compatible with Marq AC Remote Control (Same Model Only)</t>
  </si>
  <si>
    <t>Compatible with Amstrad AC Remote Control (Same Model Only)</t>
  </si>
  <si>
    <t>Compatible with Nitoshi AC Remote Control (Same Model Only)</t>
  </si>
  <si>
    <t>Compatible with Vestar AC Remote Control (Same Model Only)</t>
  </si>
  <si>
    <t>Compatible with Mitashi AC Remote Control (Same Model Only)</t>
  </si>
  <si>
    <t>Compatible with AOC LCD/LED Remote Control (Same Model Only)</t>
  </si>
  <si>
    <t>Compatible with for Sansui Smart LCD/LED Remote Control (Same Model Only)</t>
  </si>
  <si>
    <t>Compatible with Hyundai LCD/LED Remote Control (Same Model Only)</t>
  </si>
  <si>
    <t>Compatible with Sony AV (Home Theatre) System</t>
  </si>
  <si>
    <t>Compatible with Samsung CRT TV Remote Control (Same Model Only)</t>
  </si>
  <si>
    <t>Compatible with Intex Home Theatre System Remote Control (Same Model Only)</t>
  </si>
  <si>
    <t>Compatible with LG CRT TV Remote Control (Same Model Only)</t>
  </si>
  <si>
    <t>Compatible with Sony Home Theatre/DVD Remote Control (Same Model Only)</t>
  </si>
  <si>
    <t>Compatible with Sharp LCD/LED Smart TV Remote Control (Same Model Only)</t>
  </si>
  <si>
    <t>Compatible with Panasonic LCD/LED Smart TV Remote Control (Same Model Only)</t>
  </si>
  <si>
    <t>Compatible with Samsung Home Theatre/DVD Remote Control (Same Model Only)</t>
  </si>
  <si>
    <t>Compatible with Philips CRT TV Remote Control (Same Model Only)</t>
  </si>
  <si>
    <t>Compatible with LG LCD/LED Smart TV Remote Control (Same Model Only)</t>
  </si>
  <si>
    <t>Compatible with Sony Home Theatre System Remote Control (Same Model Only)</t>
  </si>
  <si>
    <t>Compatible with BPL CRT TV Remote Control (Same Model Only)</t>
  </si>
  <si>
    <t>Compatible with Philips LED with D2H Remote Control (Same Model Only)</t>
  </si>
  <si>
    <t>Compatible with Reliance Reconnect LCD/LED Remote Control (Same Model Only)</t>
  </si>
  <si>
    <t>Compatible with Sharp LCD/LED TV Remote Control (Same Model Only)</t>
  </si>
  <si>
    <t>Compatible with Videocon CRT TV Remote Control (Same Model Only)</t>
  </si>
  <si>
    <t>Compatible with Cemex Home Theatre System Remote Control (Same Model Only)</t>
  </si>
  <si>
    <t>Compatible with Haier LCD/LED TV Remote Control (Same Model Only)</t>
  </si>
  <si>
    <t>Compatible with LG DVD Player Remote Control (Same Model Only)</t>
  </si>
  <si>
    <t>Compatible with MCBS 4000 DTH Set Top Box</t>
  </si>
  <si>
    <t>Compatible with Vu LCD/LED Smart TV Remote Control (Same Model Only)</t>
  </si>
  <si>
    <t>Compatible with Mitsun Home Theatre System Remote Control (Same Model Only)</t>
  </si>
  <si>
    <t>Compatible with Akai CRT TV Remote Remote Control (Same Model Only)</t>
  </si>
  <si>
    <t>Compatible with Sony Home Theatre AV System Remote Control (Same Model Only)</t>
  </si>
  <si>
    <t>Compatible with Intex Home Theatre Remote Control (Same Model Only)</t>
  </si>
  <si>
    <t>Compatible with Panasonic CRT TV Remote Control (Same Model Only)</t>
  </si>
  <si>
    <t>Compatible with Sansui CRT TV Remote Control (Same Model Only)</t>
  </si>
  <si>
    <t>Compatible with Samsung LCD/LED Smart 4K Ultra HD (UHD) TV Remote Control (Same Model Only)</t>
  </si>
  <si>
    <t>Compatible with Mi LCD/LED Smart 4K Ultra HD (UHD) TV Remote Control (Same Model Only)</t>
  </si>
  <si>
    <t>Compatible with TCL LCD/LED Smart TV Remote Control (Same Model Only)</t>
  </si>
  <si>
    <t>Compatible with Philips LCD/LED Smart TV Remote Control (Same Model Only)</t>
  </si>
  <si>
    <t>Compatible with Intec AC Remote Control (Same Model Only)</t>
  </si>
  <si>
    <t>Compatible with Videocon D2H Satellite Box Remote Control (Same Model Only)</t>
  </si>
  <si>
    <t>Compatible with Marq AC Remote (Same Model Only)</t>
  </si>
  <si>
    <t>Compatible with Napoleon AC Remote Control (Same Model Only)</t>
  </si>
  <si>
    <t>Compatible with Godrej and Godrej Eon AC Remote Control (Same Model Only)</t>
  </si>
  <si>
    <t>Compatible with Micromax LCD/LED TV Remote Control (Same Model Only)</t>
  </si>
  <si>
    <t>Compatible with O General Long AC Remote Control (Same Model Only)</t>
  </si>
  <si>
    <t>Compatible with Inbuilt Sansui Satellite Box and LED/LCD TV Remote (Same Model Only)</t>
  </si>
  <si>
    <t>generic_keywords</t>
  </si>
  <si>
    <t>Bluestar AC</t>
  </si>
  <si>
    <t>Voltas AC</t>
  </si>
  <si>
    <t>Electrolux AC</t>
  </si>
  <si>
    <t>Sony LCD/LED TV</t>
  </si>
  <si>
    <t>Samsung LCD/LED TV</t>
  </si>
  <si>
    <t>LG LCD/LED TV</t>
  </si>
  <si>
    <t>Panasonic LCD/LED TV</t>
  </si>
  <si>
    <t>Videocon and Sansui LCD/LED TV</t>
  </si>
  <si>
    <t>Philips LCD/LED TV</t>
  </si>
  <si>
    <t>Onida LCD/LED TV</t>
  </si>
  <si>
    <t>Onida CRT TV</t>
  </si>
  <si>
    <t>Onida AC</t>
  </si>
  <si>
    <t>LG AC</t>
  </si>
  <si>
    <t>Samsung AC</t>
  </si>
  <si>
    <t>Panasonic AC</t>
  </si>
  <si>
    <t>Mitsubishi AC</t>
  </si>
  <si>
    <t>Hitachi AC</t>
  </si>
  <si>
    <t>Haier AC</t>
  </si>
  <si>
    <t>Voltas and Lloyd AC</t>
  </si>
  <si>
    <t>Videocon and Electrolux AC</t>
  </si>
  <si>
    <t>Toshiba AC</t>
  </si>
  <si>
    <t>Hisense AC</t>
  </si>
  <si>
    <t>Midea AC</t>
  </si>
  <si>
    <t>Llyod AC</t>
  </si>
  <si>
    <t>Aux AC</t>
  </si>
  <si>
    <t>Sansui LCD/LED TV</t>
  </si>
  <si>
    <t>Intex LCD/LED TV</t>
  </si>
  <si>
    <t>Sun Direct DTH</t>
  </si>
  <si>
    <t>Sansui Satellite Box (Inbuilt) and LED/LCD TV with 3D Supported</t>
  </si>
  <si>
    <t>Futec LCD/LED TV</t>
  </si>
  <si>
    <t>LG LCD/LED Plasma TV</t>
  </si>
  <si>
    <t>LG LCD/LED/Plasma TV</t>
  </si>
  <si>
    <t>Toshiba LCD/LED TV</t>
  </si>
  <si>
    <t>Videocon AC</t>
  </si>
  <si>
    <t>Carrier AC</t>
  </si>
  <si>
    <t>Croma AC</t>
  </si>
  <si>
    <t>Whirlpool AC</t>
  </si>
  <si>
    <t>Godrej AC</t>
  </si>
  <si>
    <t>Kelvinator AC</t>
  </si>
  <si>
    <t>Cruise AC</t>
  </si>
  <si>
    <t>Kenstar AC</t>
  </si>
  <si>
    <t>Napolean AC</t>
  </si>
  <si>
    <t>Koryo AC</t>
  </si>
  <si>
    <t>Hyundai AC</t>
  </si>
  <si>
    <t>Totalline AC</t>
  </si>
  <si>
    <t>TCL AC</t>
  </si>
  <si>
    <t>Reconnect AC</t>
  </si>
  <si>
    <t>Sansui AC</t>
  </si>
  <si>
    <t>Camipro AC</t>
  </si>
  <si>
    <t>Azure AC</t>
  </si>
  <si>
    <t>Vise AC</t>
  </si>
  <si>
    <t>Marq AC</t>
  </si>
  <si>
    <t>Amstrad AC</t>
  </si>
  <si>
    <t>Nitoshi AC</t>
  </si>
  <si>
    <t>Vestar AC</t>
  </si>
  <si>
    <t>Mitashi AC</t>
  </si>
  <si>
    <t>Samsung CRT TV</t>
  </si>
  <si>
    <t>LG CRT TV</t>
  </si>
  <si>
    <t>Philips CRT TV</t>
  </si>
  <si>
    <t>BPL CRT TV</t>
  </si>
  <si>
    <t>Sharp LCD/LED TV</t>
  </si>
  <si>
    <t>Videocon CRT TV</t>
  </si>
  <si>
    <t>Haier LCD/LED TV</t>
  </si>
  <si>
    <t>Panasonic CRT TV</t>
  </si>
  <si>
    <t>Sansui CRT TV</t>
  </si>
  <si>
    <t>Intec AC</t>
  </si>
  <si>
    <t>Micromax LCD/LED TV</t>
  </si>
  <si>
    <t>Videocon LCD/LED TV</t>
  </si>
  <si>
    <t>O General AC</t>
  </si>
  <si>
    <t>Daikin AC</t>
  </si>
  <si>
    <t>York AC</t>
  </si>
  <si>
    <t>IFB AC</t>
  </si>
  <si>
    <t>Sharp AC</t>
  </si>
  <si>
    <t>Vu LCD/LED TV</t>
  </si>
  <si>
    <t>Micromax AC</t>
  </si>
  <si>
    <t>Microcool AC</t>
  </si>
  <si>
    <t>Akai LCD/LED TV</t>
  </si>
  <si>
    <t>Genus LCD/LED TV</t>
  </si>
  <si>
    <t>Llyod LCD/LED TV</t>
  </si>
  <si>
    <t>Reconnect LCD/LED TV</t>
  </si>
  <si>
    <t>AOC LCD/LED TV</t>
  </si>
  <si>
    <t>Hisense LCD/LED TV</t>
  </si>
  <si>
    <t>Aura AC</t>
  </si>
  <si>
    <t>Neurofuzzy AC</t>
  </si>
  <si>
    <t>Whirlpool and Godrej AC</t>
  </si>
  <si>
    <t>TCL and Videocon AC</t>
  </si>
  <si>
    <t>Onida and Cruise AC</t>
  </si>
  <si>
    <t>Voltas and Videocon AC</t>
  </si>
  <si>
    <t>Bluestar and Llyod AC</t>
  </si>
  <si>
    <t>CRT TV</t>
  </si>
  <si>
    <t>Product</t>
  </si>
  <si>
    <t>Sony Car Tape</t>
  </si>
  <si>
    <t>DishTV DTH</t>
  </si>
  <si>
    <t>GTPL DTH</t>
  </si>
  <si>
    <t>Hathway DTH</t>
  </si>
  <si>
    <t>Den DTH</t>
  </si>
  <si>
    <t>Videocon DTH</t>
  </si>
  <si>
    <t>Airtel DTH</t>
  </si>
  <si>
    <t>Siti Cable DTH</t>
  </si>
  <si>
    <t xml:space="preserve">Tata Sky DTH  </t>
  </si>
  <si>
    <t>In Cable DTH</t>
  </si>
  <si>
    <t>NXT Digital DTH</t>
  </si>
  <si>
    <t>OCC DTH</t>
  </si>
  <si>
    <t>SSDN DTH</t>
  </si>
  <si>
    <t>Weston LCD/LED TV</t>
  </si>
  <si>
    <t>Koryo LCD/LED TV</t>
  </si>
  <si>
    <t>Hyundai LCD/LED TV</t>
  </si>
  <si>
    <t>Sony DVD &amp; Home Theatre System</t>
  </si>
  <si>
    <t>Intex DVD &amp; Home Theatre System</t>
  </si>
  <si>
    <t>Samsung DVD &amp; Home Theatre System</t>
  </si>
  <si>
    <t>Cemex DVD &amp; Home Theatre System</t>
  </si>
  <si>
    <t>LG DVD &amp; Home Theatre System</t>
  </si>
  <si>
    <t>Mitsun DVD &amp; Home Theatre System</t>
  </si>
  <si>
    <t>Mi</t>
  </si>
  <si>
    <t>lg dvd audio home theatre sound system remote control original</t>
  </si>
  <si>
    <t>samsung dvd audio home theatre sound system remote control original</t>
  </si>
  <si>
    <t>intex dvd audio home theatre sound system remote control original</t>
  </si>
  <si>
    <t>cemex dvd audio home theatre sound system remote control original</t>
  </si>
  <si>
    <t>mitsun dvd audio home theatre sound system remote control original</t>
  </si>
  <si>
    <t>philips dvd audio home theatre sound system remote control original</t>
  </si>
  <si>
    <t>sony dvd audio home theatre sound system remote control original</t>
  </si>
  <si>
    <t>Videocon DDB DTH</t>
  </si>
  <si>
    <t>gtpl hd DTH D2H satellite set top box remote control original cisco STB03</t>
  </si>
  <si>
    <t>in cable hd DTH D2H satellite set top box remote control original</t>
  </si>
  <si>
    <t>airtel hd DTH D2H satellite set top box remote control original recording</t>
  </si>
  <si>
    <t>dishtv hd DTH D2H satellite set top box remote control original recording hd plus +</t>
  </si>
  <si>
    <t>den hd DTH D2H satellite set top box remote control original 16in1 stb03</t>
  </si>
  <si>
    <t>bigtv hd DTH D2H satellite set top box remote control original</t>
  </si>
  <si>
    <t>hathway 3 806 hd DTH D2H satellite set top box remote control original</t>
  </si>
  <si>
    <t>nxt digital recording hd DTH D2H satellite set top box remote control original</t>
  </si>
  <si>
    <t>ssdn hd DTH D2H satellite set top box remote control original</t>
  </si>
  <si>
    <t>occ hd DTH D2H satellite set top box remote control original</t>
  </si>
  <si>
    <t>sun direct hd DTH D2H satellite set top box remote control original</t>
  </si>
  <si>
    <t>siti cable hd DTH D2H satellite set top box remote control original</t>
  </si>
  <si>
    <t>tata sky hd DTH D2H satellite set top box remote control original recording universal univ hd+ plus</t>
  </si>
  <si>
    <t xml:space="preserve">videocon hd DTH D2H satellite set top box remote control original hd+ plus 125 white black </t>
  </si>
  <si>
    <t>mcbs 4000 hd DTH D2H satellite set top box remote control original</t>
  </si>
  <si>
    <t>videocon hd DTH D2H satellite set top box remote control original hd+ plus 125 white black inbuilt lcd led source combined tv original</t>
  </si>
  <si>
    <t>LCD/LED TV</t>
  </si>
  <si>
    <t>videocon sansui lcd led tv model remote control original 21 22 24 32 42 40 43 55 65 80 4k android inch hd full wall mount bracket ultra smart 3d netflix googleplay amazon youtube 4k</t>
  </si>
  <si>
    <t>Philips DVD &amp; Home Theatre System</t>
  </si>
  <si>
    <t>Hisense</t>
  </si>
  <si>
    <t>Mitashi LCD/LED TV</t>
  </si>
  <si>
    <t>micromax reconnect lcd led tv model remote control original 21 22 24 32 42 40 43 55 65 80 4k android inch hd full wall mount bracket ultra smart 3d netflix googleplay amazon youtube 4k</t>
  </si>
  <si>
    <t>Funai LCD/LED TV</t>
  </si>
  <si>
    <t>Microcool</t>
  </si>
  <si>
    <t>BigTV DTH</t>
  </si>
  <si>
    <t>Sansui DDB</t>
  </si>
  <si>
    <t>sansui hd DTH D2H satellite set top box remote control original hd+ plus 125 white black inbuilt lcd led source combined tv original</t>
  </si>
  <si>
    <t>lg lcd led tv plasma model remote control original 21 22 24 32 42 40 43 55 65 80 4k android inch hd full wall mount bracket ultra smart 32lj573d 3d netflix googleplay amazon youtube 4k</t>
  </si>
  <si>
    <t>Aura</t>
  </si>
  <si>
    <t>Croma</t>
  </si>
  <si>
    <t>Philips DDB</t>
  </si>
  <si>
    <t>philips hd DTH D2H satellite set top box remote control original hd+ plus 125 white black inbuilt lcd led source combined tv original</t>
  </si>
  <si>
    <t>Philips DDB DTH</t>
  </si>
  <si>
    <t>MCBS DTH</t>
  </si>
  <si>
    <t>Akai CRT TV</t>
  </si>
  <si>
    <t>Mi LCD/LED TV</t>
  </si>
  <si>
    <t>TCL LCD/LED TV</t>
  </si>
  <si>
    <t>Intec</t>
  </si>
  <si>
    <t>Sansui DDB DTH</t>
  </si>
  <si>
    <t>UP614</t>
  </si>
  <si>
    <t>Compatible with Electrolux AC Remote Control Same Model Only)</t>
  </si>
  <si>
    <t>UP615</t>
  </si>
  <si>
    <t>Compatible with Kenstar AC Remote Control Same Model Only)</t>
  </si>
  <si>
    <t>Godrej LCD/LED TV</t>
  </si>
  <si>
    <t>Compatible with Godrej LCD/LED TV Remote Control Same Model Only)</t>
  </si>
  <si>
    <t>UP616</t>
  </si>
  <si>
    <t>Akai AC</t>
  </si>
  <si>
    <t>UP617</t>
  </si>
  <si>
    <t>Compatible with Akai AC Remote Control Same Model Only)</t>
  </si>
  <si>
    <t>UP618</t>
  </si>
  <si>
    <t>Compatible with Amstrad AC Remote Control Same Model Only)</t>
  </si>
  <si>
    <t>UP620</t>
  </si>
  <si>
    <t>Compatible with Haier AC Remote Control Same Model Only)</t>
  </si>
  <si>
    <t>UP623</t>
  </si>
  <si>
    <t>Compatible with LG LCD/LED Smart TV Remote Control Same Model Only)</t>
  </si>
  <si>
    <t>UP624</t>
  </si>
  <si>
    <t>Compatible with Samsung LCD/LED Smart TV Remote Control Same Model Only)</t>
  </si>
  <si>
    <t>UP625</t>
  </si>
  <si>
    <t>Compatible with Hitachi AC Remote Control Same Model Only)</t>
  </si>
  <si>
    <t>UP628</t>
  </si>
  <si>
    <t>Compatible with LG AC Remote Control Same Model Only)</t>
  </si>
  <si>
    <t>Compatible with IFB AC Remote Control Same Model Only)</t>
  </si>
  <si>
    <t>UP629</t>
  </si>
  <si>
    <t>UP630</t>
  </si>
  <si>
    <t>Compatible with Llyod AC Remote Control Same Model Only)</t>
  </si>
  <si>
    <t>UP633</t>
  </si>
  <si>
    <t>Compatible with LG LCD/LED TV Remote Control Same Model Only)</t>
  </si>
  <si>
    <t>UP641</t>
  </si>
  <si>
    <t>Compatible with Daikin &amp; Daikin Inverter AC Remote Control Same Model Only)</t>
  </si>
  <si>
    <t>UP642</t>
  </si>
  <si>
    <t>Compatible with Haier LCD/LED TV Remote Control Same Model Only)</t>
  </si>
  <si>
    <t>weston lcd led tv plasma remote control original 21 22 24 32 42 40 43 55 65 80 4k android inch hd full bracket ultra smart</t>
  </si>
  <si>
    <t>sony bravia lcd led tv plasma remote control original 21 22 24 32 42 40 43 55 65 80 4k android inch hd full bracket ultra smart 3d googleplay netflix youtube rm ga022 rmt-tx112p</t>
  </si>
  <si>
    <t>samsung lcd led tv plasma remote control original 21 22 24 32 42 40 43 55 65 80 4k android inch hd full bracket ultra smart 3d BN59-607A netflix googleplay amazon youtube 4k BN59-01259B</t>
  </si>
  <si>
    <t>panasonic lcd led tv plasma remote control original 21 22 24 32 42 40 43 55 65 80 4k android inch hd full bracket ultra smart 3d netflix googleplay amazon youtube 4k</t>
  </si>
  <si>
    <t>akai lcd led tv plasma remote control original 21 22 24 32 42 40 43 55 65 80 4k android inch hd full bracket ultra smart 3d netflix googleplay amazon youtube 4k</t>
  </si>
  <si>
    <t>videocon lcd led tv plasma remote control original 21 22 24 32 42 40 43 55 65 80 4k android inch hd full bracket ultra smart 3d netflix googleplay amazon youtube 4k</t>
  </si>
  <si>
    <t>sansui lcd led tv plasma remote control original 21 22 24 32 42 40 43 55 65 80 4k android inch hd full bracket ultra smart 3d smt22 s2gg netflix googleplay amazon youtube 4k</t>
  </si>
  <si>
    <t>lg lcd led tv plasma remote control original 21 22 24 32 42 40 43 55 65 80 4k android inch hd full bracket ultra smart 32lj573d 3d netflix googleplay amazon youtube 4k</t>
  </si>
  <si>
    <t>koryo lcd led tv plasma remote control original 21 22 24 32 42 40 43 55 65 80 4k android inch hd full bracket ultra smart 3d netflix googleplay amazon youtube 4k</t>
  </si>
  <si>
    <t>vu lcd led tv plasma remote control original 21 22 24 32 42 40 43 55 65 80 4k android inch hd full bracket ultra smart 3d netflix googleplay amazon youtube 4k</t>
  </si>
  <si>
    <t>AOC 3 lcd led tv plasma remote control original 21 22 24 32 42 40 43 55 65 80 4k android inch hd full bracket ultra smart 3d netflix googleplay amazon youtube 4k</t>
  </si>
  <si>
    <t>funai lcd led tv plasma remote control original 21 22 24 32 42 40 43 55 65 80 4k android inch hd full bracket ultra smart 3d netflix googleplay amazon youtube 4k</t>
  </si>
  <si>
    <t>futec lcd led tv plasma remote control original 21 22 24 32 42 40 43 55 65 80 4k android inch hd full bracket ultra smart 3d netflix googleplay amazon youtube 4k</t>
  </si>
  <si>
    <t>genus lcd led tv plasma remote control original 21 22 24 32 42 40 43 55 65 80 4k android inch hd full bracket ultra smart 3d netflix googleplay amazon youtube 4k</t>
  </si>
  <si>
    <t>le55b9500u le32k6500ag 32b9500wb haier lcd led tv plasma remote control original 21 22 24 32 42 40 43 55 65 80 4k android inch hd full bracket ultra smart 3d netflix googleplay amazon youtube 4k</t>
  </si>
  <si>
    <t>32 20 3204 3213 3226 intex lcd led tv plasma remote control original 21 22 24 32 42 40 43 55 65 80 4k android inch hd full bracket ultra smart 3d netflix googleplay amazon youtube 4k</t>
  </si>
  <si>
    <t>llyod lcd led tv plasma remote control original 21 22 24 32 42 40 43 55 65 80 4k android inch hd full bracket ultra smart 3d netflix googleplay amazon youtube 4k</t>
  </si>
  <si>
    <t>micromax lcd led tv plasma remote control original 21 22 24 32 42 40 43 55 65 80 4k android inch hd full bracket ultra smart 3d netflix googleplay amazon youtube 4k</t>
  </si>
  <si>
    <t>mitashi lcd led tv plasma remote control original 21 22 24 32 42 40 43 55 65 80 4k android inch hd full bracket ultra smart 3d netflix googleplay amazon youtube 4k</t>
  </si>
  <si>
    <t>onida lcd led tv plasma remote control original 21 22 24 32 42 40 43 55 65 80 4k android inch hd full bracket ultra smart 3d diamond series 29 netflix googleplay amazon youtube 4k</t>
  </si>
  <si>
    <t>tvs philips lcd led tv plasma remote control original 21 22 24 32 42 40 43 55 65 80 4k android inch hd full bracket ultra smart 3d netflix googleplay amazon youtube 4k</t>
  </si>
  <si>
    <t>reliance reconnect lcd led tv plasma remote control original 21 22 24 32 42 40 43 55 65 80 4k android inch hd full bracket ultra smart 3d netflix googleplay amazon youtube 4k</t>
  </si>
  <si>
    <t>sharp lcd led tv plasma remote control original 21 22 24 32 42 40 43 55 65 80 4k android inch hd full bracket ultra smart 3d netflix googleplay amazon youtube 4k</t>
  </si>
  <si>
    <t>toshiba lcd led tv plasma remote control original 21 22 24 32 42 40 43 55 65 80 4k android inch hd full bracket ultra smart 3d netflix googleplay amazon youtube 4k</t>
  </si>
  <si>
    <t>godrej lcd led tv plasma remote control original 21 22 24 32 42 40 43 55 65 80 4k android inch hd full bracket ultra smart 3d netflix googleplay amazon youtube 4k</t>
  </si>
  <si>
    <t>hyundai lcd led tv plasma remote control original 21 22 24 32 42 40 43 55 65 80 4k android inch hd full bracket ultra smart 3d netflix googleplay amazon youtube 4k</t>
  </si>
  <si>
    <t>tcl lcd led tv plasma remote control original 21 22 24 32 42 40 43 55 65 80 4k android inch hd full bracket ultra smart 3d netflix googleplay amazon youtube 4k</t>
  </si>
  <si>
    <t>mi lcd led tv plasma remote control original 21 22 24 32 42 40 43 55 65 80 4k android inch hd full bracket ultra smart 3d netflix googleplay amazon youtube 4k 4A</t>
  </si>
  <si>
    <t>hisense lcd led tv plasma remote control original 21 22 24 32 42 40 43 55 65 80 4k android inch hd full bracket ultra smart 3d netflix googleplay amazon youtube 4k 4A</t>
  </si>
  <si>
    <t xml:space="preserve">sony car stereo remote control original audio music player system amplifier tape </t>
  </si>
  <si>
    <t>bpl tv remote control original 21 22 24 inch hd crt</t>
  </si>
  <si>
    <t>lg tv remote control original 21 22 24 inch hd crt</t>
  </si>
  <si>
    <t>onida tv remote control original 21 22 24 inch hd crt</t>
  </si>
  <si>
    <t>panasonic tv remote control original 21 22 24 inch hd crt</t>
  </si>
  <si>
    <t>philips tv remote control original 21 22 24 inch hd crt</t>
  </si>
  <si>
    <t>samsung tv remote control original 21 22 24 inch hd crt</t>
  </si>
  <si>
    <t>sansui tv remote control original 21 22 24 inch hd crt</t>
  </si>
  <si>
    <t>videocon tv remote control original 21 22 24 inch hd crt</t>
  </si>
  <si>
    <t>akai tv remote control original 21 22 24 inch hd crt</t>
  </si>
  <si>
    <t>videocon tcl ac remote control original inverter air conditioner aircon jet speed neo cool elite wifi swing 3S 5S 0.8T 1.0T 2.0T 1.5T 1.6T grey clock timer mode fan flow 3d auto dry copper condenser white model window split generic 1 1.5 3 5 star ton</t>
  </si>
  <si>
    <t>mitsubishi ac remote control original inverter air conditioner aircon jet speed neo cool elite wifi flow 3d auto dry copper condenser white window split generic 0.8 1 1.5 1.6 2 3 5 star ton electric heavy duty industries</t>
  </si>
  <si>
    <t>samsung ac remote control original inverter air conditioner aircon jet speed neo cool elite wifi flow 3d auto dry copper condenser white window split generic 1 1.5 1.6 2 3 5 star ton</t>
  </si>
  <si>
    <t>panasonic ac remote control original inverter air conditioner aircon jet speed neo cool elite wifi flow 3d auto dry copper condenser window split generic 1 1.5 3 5 star ton econavi powerful eon</t>
  </si>
  <si>
    <t>llyod ac remote control original spilt window inverter air conditioner aircon jet speed neo cool mode fan flow 3d auto dry copper condenser white model 1 1.5 3 5 star ton voltas</t>
  </si>
  <si>
    <t>videocon electrolux ac remote control original inverter air conditioner aircon jet speed neo cool mode fan flow 3d auto dry copper condenser white model window split generic 1 1.5 3 5 star ton</t>
  </si>
  <si>
    <t>daikin ac remote control original inverter air conditioner aircon jet speed neo cool elite wifi swing flow 3d auto dry copper condenser white window split generic 1 1.5 3 5 star ton arc</t>
  </si>
  <si>
    <t>carrier ac remote control split universal window durakool inverter estrella original air conditioner aircon jet speed neo cool elite wifi swing flow 3d auto dry copper condenser white generic window split generic 1 1.5 3 5 star ton</t>
  </si>
  <si>
    <t>whirpool ac remote control original magineo cool elite wifi 6th sense inverter air conditioner aircon jet speed neo cool elite wifi flow 3d auto dry copper condenser white window split 1 1.5 3 5 star ton ESKO</t>
  </si>
  <si>
    <t>videocon ac remote control original inverter air conditioner aircon jet speed neo cool elite wifi swing flow 3d auto dry copper condenser white window split generic 1 1.5 3 5 star ton</t>
  </si>
  <si>
    <t>microcool ac remote control original inverter air conditioner aircon jet speed neo cool elite wifi flow 3d auto dry copper condenser white window split generic 1 1.5 3 5 star ton</t>
  </si>
  <si>
    <t>voltas ac remote control original inverter air conditioner aircon jet speed neo cool elite wifi swing flow 3d auto dry copper condenser white window split generic 1 1.5 3 5 star ton</t>
  </si>
  <si>
    <t>godrej ac remote control original inverter air conditioner aircon jet speed neo cool elite wifi swing flow 3d auto dry copper condenser white window split generic 1 1.5 3 5 star ton</t>
  </si>
  <si>
    <t>onida ac remote control original inverter air conditioner aircon jet speed neo cool elite wifi swing flow 3d auto dry copper condenser white window split generic 1 1.5 3 ton 5 star Grandeur Silk Nova IRIS</t>
  </si>
  <si>
    <t>electrolux ac remote control original inverter air conditioner aircon jet speed neo cool elite wifi swing flow 3d auto dry copper condenser white window split generic 1 1.5 3 5 star ton</t>
  </si>
  <si>
    <t>lg ac remote control original inverter air conditioner aircon jet speed neo cool elite wifi swing flow 3d auto dry copper condenser white window split generic 1 1.5 3 5 star ton</t>
  </si>
  <si>
    <t xml:space="preserve">llyod ac remote control original spilt window inverter air conditioner aircon jet speed neo cool elite wifi swing flow 3d auto dry copper condenser white 1 1.5 3 5 star ton </t>
  </si>
  <si>
    <t>kelvinator ac remote control original inverter air conditioner aircon jet speed neo cool elite wifi swing flow 3d auto dry copper condenser white window split generic 1 1.5 3 5 star ton</t>
  </si>
  <si>
    <t xml:space="preserve">cruise ac remote control original inverter air conditioner aircon jet speed neo cool elite wifi swing COPR PRO+ INV flow 3d auto dry copper condenser white window split generic 1 1.5 3 5 star ton CWCDGD-CQ5S183P </t>
  </si>
  <si>
    <t xml:space="preserve">kenstar ac remote control original inverter air conditioner aircon jet speed neo cool elite wifi swing COPR PRO+ INV flow 3d auto dry copper condenser white window split generic 1 1.5 3 5 star ton kt18spq kt18gn </t>
  </si>
  <si>
    <t xml:space="preserve">napolean ac remote control original inverter air conditioner aircon jet speed neo cool elite wifi swing COPR PRO+ INV flow 3d auto dry copper condenser white window split generic 1 1.5 3 5 star ton </t>
  </si>
  <si>
    <t xml:space="preserve">koryo ac remote control original inverter air conditioner aircon jet speed neo cool elite wifi swing COPR PRO+ INV flow 3d auto dry copper condenser white window split generic 1 1.5 3 5 star ton </t>
  </si>
  <si>
    <t xml:space="preserve">hyundai ac remote control original inverter air conditioner aircon jet speed neo cool elite wifi swing COPR PRO+ INV flow 3d auto dry copper condenser white window split generic 1 1.5 3 5 star ton </t>
  </si>
  <si>
    <t xml:space="preserve">totalline ac remote control original inverter air conditioner aircon jet speed neo cool elite wifi swing COPR PRO+ INV flow 3d auto dry copper condenser white window split generic 1 1.5 3 5 star ton </t>
  </si>
  <si>
    <t xml:space="preserve">hisense ac remote control original inverter air conditioner aircon jet speed neo cool elite wifi swing COPR PRO+ INV flow 3d auto dry copper condenser white window split generic 1 1.5 3 5 star ton </t>
  </si>
  <si>
    <t xml:space="preserve">sansui ac remote control original inverter air conditioner aircon jet speed neo cool elite wifi swing COPR PRO+ INV flow 3d auto dry copper condenser white window split generic 1 1.5 3 5 star ton </t>
  </si>
  <si>
    <t xml:space="preserve">aux ac remote control original inverter air conditioner aircon jet speed neo cool elite wifi swing COPR PRO+ INV flow 3d auto dry copper condenser white window split generic 1 1.5 3 5 star ton </t>
  </si>
  <si>
    <t xml:space="preserve">azure ac remote control original inverter air conditioner aircon jet speed neo cool elite wifi swing COPR PRO+ INV flow 3d auto dry copper condenser white window split generic 1 1.5 3 5 star ton </t>
  </si>
  <si>
    <t xml:space="preserve">bluestar ac remote control original inverter air conditioner aircon jet speed neo cool elite wifi swing COPR PRO+ INV flow 3d auto dry copper condenser white window split generic 1 1.5 3 5 star ton </t>
  </si>
  <si>
    <t>haier ac remote control original inverter air conditioner aircon jet speed neo cool elite wifi swing flow 3d auto dry copper condenser white window split generic 1 1.5 3 5 star ton</t>
  </si>
  <si>
    <t>hitachi ac remote control original inverter air conditioner aircon jet speed neo cool elite wifi swing INV flow 3d auto dry copper condenser white window split generic 1 1.5 3 5 star ton RAW318KUD New Kaze Plus</t>
  </si>
  <si>
    <t>ifb ac remote control original inverter air conditioner aircon jet speed neo cool elite wifi swing COPR PRO+ INV flow 3d auto dry copper condenser white window split generic 1 1.5 3 5 star ton ac91</t>
  </si>
  <si>
    <t xml:space="preserve">midea ac remote control original inverter air conditioner aircon jet speed neo cool elite wifi swing COPR PRO+ INV flow 3d auto dry copper condenser white window split generic 1 1.5 3 5 star ton </t>
  </si>
  <si>
    <t xml:space="preserve">neurofuzzy ac remote control original inverter air conditioner aircon jet speed neo cool elite wifi swing COPR PRO+ INV flow 3d auto dry copper condenser white window split generic 1 1.5 3 5 star ton </t>
  </si>
  <si>
    <t>o general ac remote control original inverter air conditioner aircon jet speed neo cool elite wifi swing flow 3d auto dry copper condenser white window split generic 1 1.5 3 5 star ton</t>
  </si>
  <si>
    <t>reconnect reliance ac remote control original inverter air conditioner aircon jet speed neo cool elite wifi swing flow 3d auto dry copper condenser white window split generic 1 1.5 3 5 star ton</t>
  </si>
  <si>
    <t>sharp ac remote control original inverter air conditioner aircon jet speed neo cool elite wifi swing COPR PRO+ INV flow 3d auto dry copper condenser white window split generic 1 1.5 3 5 star ton</t>
  </si>
  <si>
    <t>tcl ac remote control original inverter air conditioner aircon jet speed neo cool elite wifi swing flow 3d auto dry copper condenser white window split generic 1 1.5 3 5 star ton AI Ultra wi-fi turbo</t>
  </si>
  <si>
    <t>toshiba ac remote control original inverter air conditioner aircon jet speed neo cool elite wifi swing COPR PRO+ INV flow 3d auto dry copper condenser white window split generic 1 1.5 3 5 star ton</t>
  </si>
  <si>
    <t xml:space="preserve">vestar ac remote control original inverter air conditioner aircon jet speed neo cool elite wifi swing COPR PRO+ INV flow 3d auto dry copper condenser white window split generic 1 1.5 3 5 star ton </t>
  </si>
  <si>
    <t xml:space="preserve">york ac remote control original inverter air conditioner aircon jet speed neo cool elite wifi swing flow 3d auto dry copper condenser white window split generic 1 1.5 3 5 star ton </t>
  </si>
  <si>
    <t xml:space="preserve">camipro ac remote control original inverter air conditioner aircon jet speed neo cool elite wifi swing COPR PRO+ INV flow 3d auto dry copper condenser white window split generic 1 1.5 3 5 star ton </t>
  </si>
  <si>
    <t xml:space="preserve">aura ac remote control original inverter air conditioner aircon jet speed neo cool elite wifi swing COPR PRO+ INV flow 3d auto dry copper condenser white window split generic 1 1.5 3 5 star ton </t>
  </si>
  <si>
    <t xml:space="preserve">amstrad ac remote control original inverter air conditioner aircon jet speed neo cool elite wifi swing COPR PRO+ INV flow 3d auto dry copper condenser white window split generic 1 1.5 3 5 star ton </t>
  </si>
  <si>
    <t xml:space="preserve">nitoshi ac remote control original inverter air conditioner aircon jet speed neo cool elite wifi swing COPR PRO+ INV flow 3d auto dry copper condenser white window split generic 1 1.5 3 5 star ton </t>
  </si>
  <si>
    <t xml:space="preserve">marq ac remote control original inverter air conditioner aircon jet speed neo cool elite wifi swing COPR PRO+ INV flow 3d auto dry copper condenser white window split generic 1 1.5 3 5 star ton </t>
  </si>
  <si>
    <t xml:space="preserve">vise ac remote control original inverter air conditioner aircon jet speed neo cool elite wifi swing COPR PRO+ INV flow 3d auto dry copper condenser white window split generic 1 1.5 3 5 star ton </t>
  </si>
  <si>
    <t>mitashi ac remote control original inverter air conditioner aircon jet speed neo cool elite wifi swing COPR PRO+ INV flow 3d auto dry copper condenser white window split generic 1 1.5 3 5 star ton</t>
  </si>
  <si>
    <t xml:space="preserve">micromax ac remote control original inverter air conditioner aircon jet speed neo cool elite wifi swing COPR PRO+ INV flow 3d auto dry copper condenser white window split generic 1 1.5 3 5 star ton </t>
  </si>
  <si>
    <t xml:space="preserve">croma ac remote control original inverter air conditioner aircon jet speed neo cool elite wifi swing COPR PRO+ INV flow 3d auto dry copper condenser white window split generic 1 1.5 3 5 star ton </t>
  </si>
  <si>
    <t xml:space="preserve">intec ac remote control original inverter air conditioner aircon jet speed neo cool elite wifi swing COPR PRO+ INV flow 3d auto dry copper condenser white window split generic 1 1.5 3 5 star ton </t>
  </si>
  <si>
    <t xml:space="preserve">intex ac remote control original inverter air conditioner aircon jet speed neo cool elite wifi swing COPR PRO+ INV flow 3d auto dry copper condenser white window split generic 1 1.5 3 5 star ton </t>
  </si>
  <si>
    <t xml:space="preserve">akai ac remote control original inverter air conditioner aircon jet speed neo cool elite wifi swing COPR PRO+ INV flow 3d auto dry copper condenser white window split generic 1 1.5 3 5 star ton </t>
  </si>
  <si>
    <t>godrej ac remote control original inverter air conditioner aircon jet speed neo cool elite wifi swing mode fan flow 3d auto dry copper condenser white model window split generic 1 1.5 3 5 star ton PURAFRESH whirlpool</t>
  </si>
  <si>
    <t>llyod ac remote control original spilt window inverter air conditioner aircon jet speed neo cool elite wifi mode fan flow 3d auto dry copper condenser white model 1 1.5 3 5 star ton bluestar</t>
  </si>
  <si>
    <t>onida cruise ac remote control original inverter air conditioner aircon jet speed neo cool elite wifi mode fan flow 3d auto dry copper condenser white model window split generic 1 1.5 3 ton 5 star</t>
  </si>
  <si>
    <t>voltas videocon ac remote control original inverter air conditioner aircon jet speed neo cool elite wifi swing mode fan flow 3d auto dry copper condenser white model window split generic 1 1.5 3 5 star ton</t>
  </si>
  <si>
    <t>Sanyo</t>
  </si>
  <si>
    <t>Thomson</t>
  </si>
  <si>
    <t>Reliance Jio</t>
  </si>
  <si>
    <t>Airtel Xstream</t>
  </si>
  <si>
    <t>DVB Free Dish</t>
  </si>
  <si>
    <t>airtel smart xstream digital recording hd DTH D2H satellite set top box remote control original</t>
  </si>
  <si>
    <t>reliance jio smart fiber digital recording hd DTH D2H satellite set top box remote control original</t>
  </si>
  <si>
    <t>free dish doordarshan dvb digital recording hd DTH D2H satellite set top box remote control original</t>
  </si>
  <si>
    <t>Compatible Brand</t>
  </si>
  <si>
    <t>lg dvd audio home theatre sound system sound bar remote control original</t>
  </si>
  <si>
    <t>samsung dvd audio home theatre sound system sound bar remote control original</t>
  </si>
  <si>
    <t>all in one universal dvd audio home theatre sound system sound bar remote control original</t>
  </si>
  <si>
    <t>beston dvd audio home theatre sound system sound bar remote control original</t>
  </si>
  <si>
    <t>intex dvd audio home theatre sound system sound bar remote control original</t>
  </si>
  <si>
    <t>cemex dvd audio home theatre sound system sound bar remote control original</t>
  </si>
  <si>
    <t>conic dvd audio home theatre sound system sound bar remote control original</t>
  </si>
  <si>
    <t>mitsun dvd audio home theatre sound system sound bar remote control original</t>
  </si>
  <si>
    <t>philips dvd audio home theatre sound system sound bar remote control original</t>
  </si>
  <si>
    <t>sony dvd audio home theatre sound system sound bar remote control original</t>
  </si>
  <si>
    <t>Forbes AC</t>
  </si>
  <si>
    <t>Forbes</t>
  </si>
  <si>
    <t>Kodak</t>
  </si>
  <si>
    <t>Skyworth</t>
  </si>
  <si>
    <t>Nokia</t>
  </si>
  <si>
    <t>Motorola</t>
  </si>
  <si>
    <t>Brand</t>
  </si>
  <si>
    <t>Deltron</t>
  </si>
  <si>
    <t>Hybon</t>
  </si>
  <si>
    <t>Santosh</t>
  </si>
  <si>
    <t>Oscar</t>
  </si>
  <si>
    <t>Target</t>
  </si>
  <si>
    <t>Takai</t>
  </si>
  <si>
    <t>F&amp;D</t>
  </si>
  <si>
    <t>Dapic</t>
  </si>
  <si>
    <t>CTS</t>
  </si>
  <si>
    <t>Enkor</t>
  </si>
  <si>
    <t>Stone</t>
  </si>
  <si>
    <t>Richardo</t>
  </si>
  <si>
    <t>Impex</t>
  </si>
  <si>
    <t>iBall</t>
  </si>
  <si>
    <t>Mack</t>
  </si>
  <si>
    <t>Humax</t>
  </si>
  <si>
    <t>Kingsonic</t>
  </si>
  <si>
    <t>John Barrel</t>
  </si>
  <si>
    <t>Yamaha</t>
  </si>
  <si>
    <t>Swaroop Free Dish</t>
  </si>
  <si>
    <t>Solid Free Dish</t>
  </si>
  <si>
    <t>eLink Smart Free Dish</t>
  </si>
  <si>
    <t>Pagaria Free Dish</t>
  </si>
  <si>
    <t>Melbon Free Dish</t>
  </si>
  <si>
    <t>STC Free Dish</t>
  </si>
  <si>
    <t>NTEX Free Dish</t>
  </si>
  <si>
    <t>Feltron Free Dish</t>
  </si>
  <si>
    <t>Aiwa</t>
  </si>
  <si>
    <t>aiwa tv remote control original 21 22 24 inch hd crt</t>
  </si>
  <si>
    <t>sharp tv remote control original 21 22 24 inch hd crt</t>
  </si>
  <si>
    <t>hyundai slim tv remote control original 21 22 24 inch hd crt</t>
  </si>
  <si>
    <t>LE</t>
  </si>
  <si>
    <t>Onix</t>
  </si>
  <si>
    <t>USB FM</t>
  </si>
  <si>
    <t>usb fm remote radio wire</t>
  </si>
  <si>
    <t>sony tv remote control original 21 22 24 inch hd crt</t>
  </si>
  <si>
    <t>tcl tv remote control original 21 22 24 inch hd crt</t>
  </si>
  <si>
    <t>Hom</t>
  </si>
  <si>
    <t>Projector</t>
  </si>
  <si>
    <t>Epson</t>
  </si>
  <si>
    <t>sony projector remote control original</t>
  </si>
  <si>
    <t>epson projector remote control original</t>
  </si>
  <si>
    <t>Worldtech</t>
  </si>
  <si>
    <t>sanyo projector remote control original</t>
  </si>
  <si>
    <t>PE Description</t>
  </si>
  <si>
    <t>Upix Title</t>
  </si>
  <si>
    <t>Upix Description</t>
  </si>
  <si>
    <t>For Remote Verification, Send Old/Original Remote Picture at WhatsApp +91-9016382240 or care@thepoojaelectronics.com, and get the Compatible remote link to Order online easily. Free Shipping across India  Cash on Delivery Option Available  10 Days Replacement/Refund Warranty</t>
  </si>
  <si>
    <t>For Remote Verification, Send Old/Original Remote Picture at WhatsApp +91-9016382240 or care@upixinc.com, and get the Compatible remote link to Order online easily. Free Shipping across India  Cash on Delivery Option Available  7 Days Replacement/Refund Warranty</t>
  </si>
  <si>
    <t>Ad Status</t>
  </si>
  <si>
    <t>Done</t>
  </si>
  <si>
    <t>No Need</t>
  </si>
  <si>
    <t>Blaupunkt</t>
  </si>
  <si>
    <t xml:space="preserve">forbes ac remote control original inverter air conditioner aircon jet speed neo cool elite wifi swing COPR PRO+ INV flow 3d auto dry copper condenser white window split generic 1 1.5 3 5 star ton </t>
  </si>
  <si>
    <t xml:space="preserve">sanyo ac remote control original inverter air conditioner aircon jet speed neo cool elite wifi swing COPR PRO+ INV flow 3d auto dry copper condenser white window split generic 1 1.5 3 5 star ton </t>
  </si>
  <si>
    <t>OnePlus</t>
  </si>
  <si>
    <t>Keyword</t>
  </si>
  <si>
    <t>BPL CRT TV Remote</t>
  </si>
  <si>
    <t>LG CRT TV Remote</t>
  </si>
  <si>
    <t>Onida CRT TV Remote</t>
  </si>
  <si>
    <t>Panasonic CRT TV Remote</t>
  </si>
  <si>
    <t>Philips CRT TV Remote</t>
  </si>
  <si>
    <t>Samsung CRT TV Remote</t>
  </si>
  <si>
    <t>Sansui CRT TV Remote</t>
  </si>
  <si>
    <t>Videocon CRT TV Remote</t>
  </si>
  <si>
    <t>Akai CRT TV Remote</t>
  </si>
  <si>
    <t>Aiwa CRT TV Remote</t>
  </si>
  <si>
    <t>Sharp CRT TV Remote</t>
  </si>
  <si>
    <t>Hyundai CRT TV Remote</t>
  </si>
  <si>
    <t>Sony CRT TV Remote</t>
  </si>
  <si>
    <t>TCL CRT TV Remote</t>
  </si>
  <si>
    <t>LG TV Remote</t>
  </si>
  <si>
    <t>Onida TV Remote</t>
  </si>
  <si>
    <t>Panasonic TV Remote</t>
  </si>
  <si>
    <t>Philips TV Remote</t>
  </si>
  <si>
    <t>Samsung TV Remote</t>
  </si>
  <si>
    <t>Sansui TV Remote</t>
  </si>
  <si>
    <t>Videocon TV Remote</t>
  </si>
  <si>
    <t>Akai TV Remote</t>
  </si>
  <si>
    <t>Aiwa TV Remote</t>
  </si>
  <si>
    <t>Sharp TV Remote</t>
  </si>
  <si>
    <t>Hyundai TV Remote</t>
  </si>
  <si>
    <t>Sony TV Remote</t>
  </si>
  <si>
    <t>TCL TV Remote</t>
  </si>
  <si>
    <t>GTPL DTH Remote</t>
  </si>
  <si>
    <t>In cable DTH Remote</t>
  </si>
  <si>
    <t>Airtel DTH Remote</t>
  </si>
  <si>
    <t>DishTV DTH Remote</t>
  </si>
  <si>
    <t>Den DTH Remote</t>
  </si>
  <si>
    <t>Doordarshan Free dish DTH Remote</t>
  </si>
  <si>
    <t>BigTV DTH Remote</t>
  </si>
  <si>
    <t>Hathway DTH Remote</t>
  </si>
  <si>
    <t>NXT Digital DTH Remote</t>
  </si>
  <si>
    <t>SSDN DTH Remote</t>
  </si>
  <si>
    <t>OCC DTH Remote</t>
  </si>
  <si>
    <t>Sun Direct DTH Remote</t>
  </si>
  <si>
    <t>Siti Cable DTH Remote</t>
  </si>
  <si>
    <t>Tata Sky DTH   Remote</t>
  </si>
  <si>
    <t>Videocon DTH Remote</t>
  </si>
  <si>
    <t>MCBS DTH Remote</t>
  </si>
  <si>
    <t>Videocon DDB DTH Remote</t>
  </si>
  <si>
    <t>Sansui DDB DTH Remote</t>
  </si>
  <si>
    <t>Philips DDB DTH Remote</t>
  </si>
  <si>
    <t>Reliance Jio DTH Remote</t>
  </si>
  <si>
    <t>Airtel Xstream DTH Remote</t>
  </si>
  <si>
    <t>DVB Free Dish DTH Remote</t>
  </si>
  <si>
    <t>Swaroop Free Dish DTH Remote</t>
  </si>
  <si>
    <t>Solid Free Dish DTH Remote</t>
  </si>
  <si>
    <t>eLink Smart Free Dish DTH Remote</t>
  </si>
  <si>
    <t>Pagaria Free Dish DTH Remote</t>
  </si>
  <si>
    <t>Melbon Free Dish DTH Remote</t>
  </si>
  <si>
    <t>STC Free Dish DTH Remote</t>
  </si>
  <si>
    <t>NTEX Free Dish DTH Remote</t>
  </si>
  <si>
    <t>Feltron Free Dish DTH Remote</t>
  </si>
  <si>
    <t>GTPL Set Top Box Remote</t>
  </si>
  <si>
    <t>In cable Set Top Box Remote</t>
  </si>
  <si>
    <t>Airtel Set Top Box Remote</t>
  </si>
  <si>
    <t>DishTV Set Top Box Remote</t>
  </si>
  <si>
    <t>Den Set Top Box Remote</t>
  </si>
  <si>
    <t>BigTV Set Top Box Remote</t>
  </si>
  <si>
    <t>Hathway Set Top Box Remote</t>
  </si>
  <si>
    <t>NXT Digital Set Top Box Remote</t>
  </si>
  <si>
    <t>SSDN Set Top Box Remote</t>
  </si>
  <si>
    <t>OCC Set Top Box Remote</t>
  </si>
  <si>
    <t>Sun Direct Set Top Box Remote</t>
  </si>
  <si>
    <t>Siti Cable Set Top Box Remote</t>
  </si>
  <si>
    <t>Videocon Set Top Box Remote</t>
  </si>
  <si>
    <t>MCBS Set Top Box Remote</t>
  </si>
  <si>
    <t>Videocon DDB Set Top Box Remote</t>
  </si>
  <si>
    <t>Sansui DDB Set Top Box Remote</t>
  </si>
  <si>
    <t>Philips DDB Set Top Box Remote</t>
  </si>
  <si>
    <t>Reliance Jio Set Top Box Remote</t>
  </si>
  <si>
    <t>Airtel Xstream Set Top Box Remote</t>
  </si>
  <si>
    <t>DVB Free Dish Set Top Box Remote</t>
  </si>
  <si>
    <t>Swaroop Free Dish Set Top Box Remote</t>
  </si>
  <si>
    <t>Solid Free Dish Set Top Box Remote</t>
  </si>
  <si>
    <t>eLink Smart Free Dish Set Top Box Remote</t>
  </si>
  <si>
    <t>Pagaria Free Dish Set Top Box Remote</t>
  </si>
  <si>
    <t>Melbon Free Dish Set Top Box Remote</t>
  </si>
  <si>
    <t>STC Free Dish Set Top Box Remote</t>
  </si>
  <si>
    <t>NTEX Free Dish Set Top Box Remote</t>
  </si>
  <si>
    <t>Feltron Free Dish Set Top Box Remote</t>
  </si>
  <si>
    <t>Doordarshan Free Dish Set Top Box Remote</t>
  </si>
  <si>
    <t>Tata Sky Set Top Box  Remote</t>
  </si>
  <si>
    <t>Weston LCD/LED TV Remote</t>
  </si>
  <si>
    <t>Sony LCD/LED TV Remote</t>
  </si>
  <si>
    <t>Samsung LCD/LED TV Remote</t>
  </si>
  <si>
    <t>Panasonic LCD/LED TV Remote</t>
  </si>
  <si>
    <t>Akai LCD/LED TV Remote</t>
  </si>
  <si>
    <t>Videocon LCD/LED TV Remote</t>
  </si>
  <si>
    <t>Sansui LCD/LED TV Remote</t>
  </si>
  <si>
    <t>LG LCD/LED TV Remote</t>
  </si>
  <si>
    <t>Koryo LCD/LED TV Remote</t>
  </si>
  <si>
    <t>Vu LCD/LED TV Remote</t>
  </si>
  <si>
    <t>AOC LCD/LED TV Remote</t>
  </si>
  <si>
    <t>Funai LCD/LED TV Remote</t>
  </si>
  <si>
    <t>Futec LCD/LED TV Remote</t>
  </si>
  <si>
    <t>Genus LCD/LED TV Remote</t>
  </si>
  <si>
    <t>Haier LCD/LED TV Remote</t>
  </si>
  <si>
    <t>Intex LCD/LED TV Remote</t>
  </si>
  <si>
    <t>Llyod LCD/LED TV Remote</t>
  </si>
  <si>
    <t>Micromax LCD/LED TV Remote</t>
  </si>
  <si>
    <t>Mitashi LCD/LED TV Remote</t>
  </si>
  <si>
    <t>Onida LCD/LED TV Remote</t>
  </si>
  <si>
    <t>Philips LCD/LED TV Remote</t>
  </si>
  <si>
    <t>Reconnect LCD/LED TV Remote</t>
  </si>
  <si>
    <t>Sharp LCD/LED TV Remote</t>
  </si>
  <si>
    <t>Toshiba LCD/LED TV Remote</t>
  </si>
  <si>
    <t>Godrej LCD/LED TV Remote</t>
  </si>
  <si>
    <t>Hyundai LCD/LED TV Remote</t>
  </si>
  <si>
    <t>TCL LCD/LED TV Remote</t>
  </si>
  <si>
    <t>Mi LCD/LED TV Remote</t>
  </si>
  <si>
    <t>Hisense LCD/LED TV Remote</t>
  </si>
  <si>
    <t>Hom LCD/LED TV Remote</t>
  </si>
  <si>
    <t>Sanyo LCD/LED TV Remote</t>
  </si>
  <si>
    <t>Thomson LCD/LED TV Remote</t>
  </si>
  <si>
    <t>LE LCD/LED TV Remote</t>
  </si>
  <si>
    <t>Onix LCD/LED TV Remote</t>
  </si>
  <si>
    <t>Cloud Walker LCD/LED TV Remote</t>
  </si>
  <si>
    <t>Marq  LCD/LED TV Remote</t>
  </si>
  <si>
    <t>Worldtech LCD/LED TV Remote</t>
  </si>
  <si>
    <t>Kodak LCD/LED TV Remote</t>
  </si>
  <si>
    <t>Skyworth LCD/LED TV Remote</t>
  </si>
  <si>
    <t>Nokia LCD/LED TV Remote</t>
  </si>
  <si>
    <t>Motorola LCD/LED TV Remote</t>
  </si>
  <si>
    <t>Blaupunkt LCD/LED TV Remote</t>
  </si>
  <si>
    <t>OnePlus LCD/LED TV Remote</t>
  </si>
  <si>
    <t>Weston LCD Remote</t>
  </si>
  <si>
    <t>Sony LCD Remote</t>
  </si>
  <si>
    <t>Samsung LCD Remote</t>
  </si>
  <si>
    <t>Panasonic LCD Remote</t>
  </si>
  <si>
    <t>Akai LCD Remote</t>
  </si>
  <si>
    <t>Videocon LCD Remote</t>
  </si>
  <si>
    <t>Sansui LCD Remote</t>
  </si>
  <si>
    <t>LG LCD Remote</t>
  </si>
  <si>
    <t>Koryo LCD Remote</t>
  </si>
  <si>
    <t>Vu LCD Remote</t>
  </si>
  <si>
    <t>AOC LCD Remote</t>
  </si>
  <si>
    <t>Funai LCD Remote</t>
  </si>
  <si>
    <t>Futec LCD Remote</t>
  </si>
  <si>
    <t>Genus LCD Remote</t>
  </si>
  <si>
    <t>Haier LCD Remote</t>
  </si>
  <si>
    <t>Intex LCD Remote</t>
  </si>
  <si>
    <t>Llyod LCD Remote</t>
  </si>
  <si>
    <t>Micromax LCD Remote</t>
  </si>
  <si>
    <t>Mitashi LCD Remote</t>
  </si>
  <si>
    <t>Onida LCD Remote</t>
  </si>
  <si>
    <t>Philips LCD Remote</t>
  </si>
  <si>
    <t>Reconnect LCD Remote</t>
  </si>
  <si>
    <t>Sharp LCD Remote</t>
  </si>
  <si>
    <t>Toshiba LCD Remote</t>
  </si>
  <si>
    <t>Godrej LCD Remote</t>
  </si>
  <si>
    <t>Hyundai LCD Remote</t>
  </si>
  <si>
    <t>TCL LCD Remote</t>
  </si>
  <si>
    <t>Mi LCD Remote</t>
  </si>
  <si>
    <t>Hisense LCD Remote</t>
  </si>
  <si>
    <t>Hom LCD Remote</t>
  </si>
  <si>
    <t>Sanyo LCD Remote</t>
  </si>
  <si>
    <t>Thomson LCD Remote</t>
  </si>
  <si>
    <t>LE LCD Remote</t>
  </si>
  <si>
    <t>Onix LCD Remote</t>
  </si>
  <si>
    <t>Cloud Walker LCD Remote</t>
  </si>
  <si>
    <t>Marq  LCD Remote</t>
  </si>
  <si>
    <t>Worldtech LCD Remote</t>
  </si>
  <si>
    <t>Kodak LCD Remote</t>
  </si>
  <si>
    <t>Skyworth LCD Remote</t>
  </si>
  <si>
    <t>Nokia LCD Remote</t>
  </si>
  <si>
    <t>Motorola LCD Remote</t>
  </si>
  <si>
    <t>Blaupunkt LCD Remote</t>
  </si>
  <si>
    <t>OnePlus LCD Remote</t>
  </si>
  <si>
    <t>Weston LED Remote</t>
  </si>
  <si>
    <t>Sony LED Remote</t>
  </si>
  <si>
    <t>Samsung LED Remote</t>
  </si>
  <si>
    <t>Panasonic LED Remote</t>
  </si>
  <si>
    <t>Akai LED Remote</t>
  </si>
  <si>
    <t>Videocon LED Remote</t>
  </si>
  <si>
    <t>Sansui LED Remote</t>
  </si>
  <si>
    <t>LG LED Remote</t>
  </si>
  <si>
    <t>Koryo LED Remote</t>
  </si>
  <si>
    <t>Vu LED Remote</t>
  </si>
  <si>
    <t>AOC LED Remote</t>
  </si>
  <si>
    <t>Funai LED Remote</t>
  </si>
  <si>
    <t>Futec LED Remote</t>
  </si>
  <si>
    <t>Genus LED Remote</t>
  </si>
  <si>
    <t>Haier LED Remote</t>
  </si>
  <si>
    <t>Intex LED Remote</t>
  </si>
  <si>
    <t>Llyod LED Remote</t>
  </si>
  <si>
    <t>Micromax LED Remote</t>
  </si>
  <si>
    <t>Mitashi LED Remote</t>
  </si>
  <si>
    <t>Onida LED Remote</t>
  </si>
  <si>
    <t>Philips LED Remote</t>
  </si>
  <si>
    <t>Reconnect LED Remote</t>
  </si>
  <si>
    <t>Sharp LED Remote</t>
  </si>
  <si>
    <t>Toshiba LED Remote</t>
  </si>
  <si>
    <t>Godrej LED Remote</t>
  </si>
  <si>
    <t>Hyundai LED Remote</t>
  </si>
  <si>
    <t>TCL LED Remote</t>
  </si>
  <si>
    <t>Mi LED Remote</t>
  </si>
  <si>
    <t>Hisense LED Remote</t>
  </si>
  <si>
    <t>Hom LED Remote</t>
  </si>
  <si>
    <t>Sanyo LED Remote</t>
  </si>
  <si>
    <t>Thomson LED Remote</t>
  </si>
  <si>
    <t>LE LED Remote</t>
  </si>
  <si>
    <t>Onix LED Remote</t>
  </si>
  <si>
    <t>Cloud Walker LED Remote</t>
  </si>
  <si>
    <t>Marq  LED Remote</t>
  </si>
  <si>
    <t>Worldtech LED Remote</t>
  </si>
  <si>
    <t>Kodak LED Remote</t>
  </si>
  <si>
    <t>Skyworth LED Remote</t>
  </si>
  <si>
    <t>Nokia LED Remote</t>
  </si>
  <si>
    <t>Motorola LED Remote</t>
  </si>
  <si>
    <t>Blaupunkt LED Remote</t>
  </si>
  <si>
    <t>OnePlus LED Remote</t>
  </si>
  <si>
    <t>Weston TV Remote</t>
  </si>
  <si>
    <t>Koryo TV Remote</t>
  </si>
  <si>
    <t>Vu TV Remote</t>
  </si>
  <si>
    <t>AOC TV Remote</t>
  </si>
  <si>
    <t>Funai TV Remote</t>
  </si>
  <si>
    <t>Futec TV Remote</t>
  </si>
  <si>
    <t>Genus TV Remote</t>
  </si>
  <si>
    <t>Haier TV Remote</t>
  </si>
  <si>
    <t>Intex TV Remote</t>
  </si>
  <si>
    <t>Llyod TV Remote</t>
  </si>
  <si>
    <t>Micromax TV Remote</t>
  </si>
  <si>
    <t>Mitashi TV Remote</t>
  </si>
  <si>
    <t>Reconnect TV Remote</t>
  </si>
  <si>
    <t>Toshiba TV Remote</t>
  </si>
  <si>
    <t>Godrej TV Remote</t>
  </si>
  <si>
    <t>Mi TV Remote</t>
  </si>
  <si>
    <t>Hisense TV Remote</t>
  </si>
  <si>
    <t>Hom TV Remote</t>
  </si>
  <si>
    <t>Sanyo TV Remote</t>
  </si>
  <si>
    <t>LE TV Remote</t>
  </si>
  <si>
    <t>Onix TV Remote</t>
  </si>
  <si>
    <t>Cloud Walker TV Remote</t>
  </si>
  <si>
    <t>Marq  TV Remote</t>
  </si>
  <si>
    <t>Worldtech TV Remote</t>
  </si>
  <si>
    <t>Kodak TV Remote</t>
  </si>
  <si>
    <t>Skyworth TV Remote</t>
  </si>
  <si>
    <t>Nokia TV Remote</t>
  </si>
  <si>
    <t>Motorola TV Remote</t>
  </si>
  <si>
    <t>Blaupunkt TV Remote</t>
  </si>
  <si>
    <t>OnePlus TV Remote</t>
  </si>
  <si>
    <t>Thomson TV Remote</t>
  </si>
  <si>
    <t>Weston Smart TV Remote</t>
  </si>
  <si>
    <t>Sony Smart TV Remote</t>
  </si>
  <si>
    <t>Samsung Smart TV Remote</t>
  </si>
  <si>
    <t>Panasonic Smart TV Remote</t>
  </si>
  <si>
    <t>Akai Smart TV Remote</t>
  </si>
  <si>
    <t>Videocon Smart TV Remote</t>
  </si>
  <si>
    <t>Sansui Smart TV Remote</t>
  </si>
  <si>
    <t>LG Smart TV Remote</t>
  </si>
  <si>
    <t>Koryo Smart TV Remote</t>
  </si>
  <si>
    <t>Vu Smart TV Remote</t>
  </si>
  <si>
    <t>AOC Smart TV Remote</t>
  </si>
  <si>
    <t>Funai Smart TV Remote</t>
  </si>
  <si>
    <t>Futec Smart TV Remote</t>
  </si>
  <si>
    <t>Genus Smart TV Remote</t>
  </si>
  <si>
    <t>Haier Smart TV Remote</t>
  </si>
  <si>
    <t>Intex Smart TV Remote</t>
  </si>
  <si>
    <t>Llyod Smart TV Remote</t>
  </si>
  <si>
    <t>Micromax Smart TV Remote</t>
  </si>
  <si>
    <t>Mitashi Smart TV Remote</t>
  </si>
  <si>
    <t>Onida Smart TV Remote</t>
  </si>
  <si>
    <t>Philips Smart TV Remote</t>
  </si>
  <si>
    <t>Reconnect Smart TV Remote</t>
  </si>
  <si>
    <t>Sharp Smart TV Remote</t>
  </si>
  <si>
    <t>Toshiba Smart TV Remote</t>
  </si>
  <si>
    <t>Godrej Smart TV Remote</t>
  </si>
  <si>
    <t>Hyundai Smart TV Remote</t>
  </si>
  <si>
    <t>TCL Smart TV Remote</t>
  </si>
  <si>
    <t>Mi Smart TV Remote</t>
  </si>
  <si>
    <t>Hisense Smart TV Remote</t>
  </si>
  <si>
    <t>Hom Smart TV Remote</t>
  </si>
  <si>
    <t>Sanyo Smart TV Remote</t>
  </si>
  <si>
    <t>Thomson Smart TV Remote</t>
  </si>
  <si>
    <t>LE Smart TV Remote</t>
  </si>
  <si>
    <t>Onix Smart TV Remote</t>
  </si>
  <si>
    <t>Cloud Walker Smart TV Remote</t>
  </si>
  <si>
    <t>Marq  Smart TV Remote</t>
  </si>
  <si>
    <t>Worldtech Smart TV Remote</t>
  </si>
  <si>
    <t>Kodak Smart TV Remote</t>
  </si>
  <si>
    <t>Skyworth Smart TV Remote</t>
  </si>
  <si>
    <t>Nokia Smart TV Remote</t>
  </si>
  <si>
    <t>Motorola Smart TV Remote</t>
  </si>
  <si>
    <t>Blaupunkt Smart TV Remote</t>
  </si>
  <si>
    <t>OnePlus Smart TV Remote</t>
  </si>
  <si>
    <t>Weston Android TV Remote</t>
  </si>
  <si>
    <t>Sony Android TV Remote</t>
  </si>
  <si>
    <t>Samsung Android TV Remote</t>
  </si>
  <si>
    <t>Panasonic Android TV Remote</t>
  </si>
  <si>
    <t>Akai Android TV Remote</t>
  </si>
  <si>
    <t>Videocon Android TV Remote</t>
  </si>
  <si>
    <t>Sansui Android TV Remote</t>
  </si>
  <si>
    <t>LG Android TV Remote</t>
  </si>
  <si>
    <t>Koryo Android TV Remote</t>
  </si>
  <si>
    <t>Vu Android TV Remote</t>
  </si>
  <si>
    <t>AOC Android TV Remote</t>
  </si>
  <si>
    <t>Funai Android TV Remote</t>
  </si>
  <si>
    <t>Futec Android TV Remote</t>
  </si>
  <si>
    <t>Genus Android TV Remote</t>
  </si>
  <si>
    <t>Haier Android TV Remote</t>
  </si>
  <si>
    <t>Intex Android TV Remote</t>
  </si>
  <si>
    <t>Llyod Android TV Remote</t>
  </si>
  <si>
    <t>Micromax Android TV Remote</t>
  </si>
  <si>
    <t>Mitashi Android TV Remote</t>
  </si>
  <si>
    <t>Onida Android TV Remote</t>
  </si>
  <si>
    <t>Philips Android TV Remote</t>
  </si>
  <si>
    <t>Reconnect Android TV Remote</t>
  </si>
  <si>
    <t>Sharp Android TV Remote</t>
  </si>
  <si>
    <t>Toshiba Android TV Remote</t>
  </si>
  <si>
    <t>Godrej Android TV Remote</t>
  </si>
  <si>
    <t>Hyundai Android TV Remote</t>
  </si>
  <si>
    <t>TCL Android TV Remote</t>
  </si>
  <si>
    <t>Mi Android TV Remote</t>
  </si>
  <si>
    <t>Hisense Android TV Remote</t>
  </si>
  <si>
    <t>Hom Android TV Remote</t>
  </si>
  <si>
    <t>Sanyo Android TV Remote</t>
  </si>
  <si>
    <t>Thomson Android TV Remote</t>
  </si>
  <si>
    <t>LE Android TV Remote</t>
  </si>
  <si>
    <t>Onix Android TV Remote</t>
  </si>
  <si>
    <t>Cloud Walker Android TV Remote</t>
  </si>
  <si>
    <t>Marq  Android TV Remote</t>
  </si>
  <si>
    <t>Worldtech Android TV Remote</t>
  </si>
  <si>
    <t>Kodak Android TV Remote</t>
  </si>
  <si>
    <t>Skyworth Android TV Remote</t>
  </si>
  <si>
    <t>Nokia Android TV Remote</t>
  </si>
  <si>
    <t>Motorola Android TV Remote</t>
  </si>
  <si>
    <t>Blaupunkt Android TV Remote</t>
  </si>
  <si>
    <t>OnePlus Android TV Remote</t>
  </si>
  <si>
    <t>Samsung 4K Remote</t>
  </si>
  <si>
    <t>Samsung 8K Remote</t>
  </si>
  <si>
    <t>Samsung Voice Remote</t>
  </si>
  <si>
    <t>Panasonic Voice Remote</t>
  </si>
  <si>
    <t>LG Voice Remote</t>
  </si>
  <si>
    <t>LG Magic Remote</t>
  </si>
  <si>
    <t>LG Mouse Remote</t>
  </si>
  <si>
    <t>OnePlus Voice Remote</t>
  </si>
  <si>
    <t>Nokia Voice Remote</t>
  </si>
  <si>
    <t>Thomson Voice Remote</t>
  </si>
  <si>
    <t>Airtel Smart Remote</t>
  </si>
  <si>
    <t>All in One DVD &amp; Home Theatre System Remote</t>
  </si>
  <si>
    <t>Beston DVD &amp; Home Theatre System Remote</t>
  </si>
  <si>
    <t>Cemex DVD &amp; Home Theatre System Remote</t>
  </si>
  <si>
    <t>Conic DVD &amp; Home Theatre System Remote</t>
  </si>
  <si>
    <t>CTS DVD &amp; Home Theatre System Remote</t>
  </si>
  <si>
    <t>Dapic DVD &amp; Home Theatre System Remote</t>
  </si>
  <si>
    <t>Deltron DVD &amp; Home Theatre System Remote</t>
  </si>
  <si>
    <t>Enkor DVD &amp; Home Theatre System Remote</t>
  </si>
  <si>
    <t>F&amp;D DVD &amp; Home Theatre System Remote</t>
  </si>
  <si>
    <t>Humax DVD &amp; Home Theatre System Remote</t>
  </si>
  <si>
    <t>Hybon DVD &amp; Home Theatre System Remote</t>
  </si>
  <si>
    <t>iBall DVD &amp; Home Theatre System Remote</t>
  </si>
  <si>
    <t>Impex DVD &amp; Home Theatre System Remote</t>
  </si>
  <si>
    <t>Intex DVD &amp; Home Theatre System Remote</t>
  </si>
  <si>
    <t>John Barrel DVD &amp; Home Theatre System Remote</t>
  </si>
  <si>
    <t>Kingsonic DVD &amp; Home Theatre System Remote</t>
  </si>
  <si>
    <t>LG DVD &amp; Home Theatre System Remote</t>
  </si>
  <si>
    <t>Mack DVD &amp; Home Theatre System Remote</t>
  </si>
  <si>
    <t>Marq DVD &amp; Home Theatre System Remote</t>
  </si>
  <si>
    <t>Mitsun DVD &amp; Home Theatre System Remote</t>
  </si>
  <si>
    <t>Oscar DVD &amp; Home Theatre System Remote</t>
  </si>
  <si>
    <t>Panasonic DVD &amp; Home Theatre System Remote</t>
  </si>
  <si>
    <t>Philips DVD &amp; Home Theatre System Remote</t>
  </si>
  <si>
    <t>Richardo DVD &amp; Home Theatre System Remote</t>
  </si>
  <si>
    <t>Samsung DVD &amp; Home Theatre System Remote</t>
  </si>
  <si>
    <t>Santosh DVD &amp; Home Theatre System Remote</t>
  </si>
  <si>
    <t>Sony DVD &amp; Home Theatre System Remote</t>
  </si>
  <si>
    <t>Stone DVD &amp; Home Theatre System Remote</t>
  </si>
  <si>
    <t>Takai DVD &amp; Home Theatre System Remote</t>
  </si>
  <si>
    <t>Target DVD &amp; Home Theatre System Remote</t>
  </si>
  <si>
    <t>Yamaha DVD &amp; Home Theatre System Remote</t>
  </si>
  <si>
    <t>All in One Home Theatre System Remote</t>
  </si>
  <si>
    <t>Beston Home Theatre System Remote</t>
  </si>
  <si>
    <t>Cemex Home Theatre System Remote</t>
  </si>
  <si>
    <t>Conic Home Theatre System Remote</t>
  </si>
  <si>
    <t>CTS Home Theatre System Remote</t>
  </si>
  <si>
    <t>Dapic Home Theatre System Remote</t>
  </si>
  <si>
    <t>Deltron Home Theatre System Remote</t>
  </si>
  <si>
    <t>Enkor Home Theatre System Remote</t>
  </si>
  <si>
    <t>F&amp;D Home Theatre System Remote</t>
  </si>
  <si>
    <t>Humax Home Theatre System Remote</t>
  </si>
  <si>
    <t>Hybon Home Theatre System Remote</t>
  </si>
  <si>
    <t>iBall Home Theatre System Remote</t>
  </si>
  <si>
    <t>Impex Home Theatre System Remote</t>
  </si>
  <si>
    <t>Intex Home Theatre System Remote</t>
  </si>
  <si>
    <t>John Barrel Home Theatre System Remote</t>
  </si>
  <si>
    <t>Kingsonic Home Theatre System Remote</t>
  </si>
  <si>
    <t>LG Home Theatre System Remote</t>
  </si>
  <si>
    <t>Mack Home Theatre System Remote</t>
  </si>
  <si>
    <t>Marq Home Theatre System Remote</t>
  </si>
  <si>
    <t>Mitsun Home Theatre System Remote</t>
  </si>
  <si>
    <t>Oscar Home Theatre System Remote</t>
  </si>
  <si>
    <t>Panasonic Home Theatre System Remote</t>
  </si>
  <si>
    <t>Philips Home Theatre System Remote</t>
  </si>
  <si>
    <t>Richardo Home Theatre System Remote</t>
  </si>
  <si>
    <t>Samsung Home Theatre System Remote</t>
  </si>
  <si>
    <t>Santosh Home Theatre System Remote</t>
  </si>
  <si>
    <t>Sony Home Theatre System Remote</t>
  </si>
  <si>
    <t>Stone Home Theatre System Remote</t>
  </si>
  <si>
    <t>Takai Home Theatre System Remote</t>
  </si>
  <si>
    <t>Target Home Theatre System Remote</t>
  </si>
  <si>
    <t>Yamaha Home Theatre System Remote</t>
  </si>
  <si>
    <t>All in One DVD Remote</t>
  </si>
  <si>
    <t>Beston DVD Remote</t>
  </si>
  <si>
    <t>Cemex DVD Remote</t>
  </si>
  <si>
    <t>Conic DVD Remote</t>
  </si>
  <si>
    <t>CTS DVD Remote</t>
  </si>
  <si>
    <t>Dapic DVD Remote</t>
  </si>
  <si>
    <t>Deltron DVD Remote</t>
  </si>
  <si>
    <t>Enkor DVD Remote</t>
  </si>
  <si>
    <t>F&amp;D DVD Remote</t>
  </si>
  <si>
    <t>Humax DVD Remote</t>
  </si>
  <si>
    <t>Hybon DVD Remote</t>
  </si>
  <si>
    <t>iBall DVD Remote</t>
  </si>
  <si>
    <t>Impex DVD Remote</t>
  </si>
  <si>
    <t>Intex DVD Remote</t>
  </si>
  <si>
    <t>John Barrel DVD Remote</t>
  </si>
  <si>
    <t>Kingsonic DVD Remote</t>
  </si>
  <si>
    <t>LG DVD Remote</t>
  </si>
  <si>
    <t>Mack DVD Remote</t>
  </si>
  <si>
    <t>Marq DVD Remote</t>
  </si>
  <si>
    <t>Mitsun DVD Remote</t>
  </si>
  <si>
    <t>Oscar DVD Remote</t>
  </si>
  <si>
    <t>Panasonic DVD Remote</t>
  </si>
  <si>
    <t>Philips DVD Remote</t>
  </si>
  <si>
    <t>Richardo DVD Remote</t>
  </si>
  <si>
    <t>Samsung DVD Remote</t>
  </si>
  <si>
    <t>Santosh DVD Remote</t>
  </si>
  <si>
    <t>Sony DVD Remote</t>
  </si>
  <si>
    <t>Stone DVD Remote</t>
  </si>
  <si>
    <t>Takai DVD Remote</t>
  </si>
  <si>
    <t>Target DVD Remote</t>
  </si>
  <si>
    <t>Yamaha DVD Remote</t>
  </si>
  <si>
    <t>All in One Home Theater Remote</t>
  </si>
  <si>
    <t>Beston Home Theater Remote</t>
  </si>
  <si>
    <t>Cemex Home Theater Remote</t>
  </si>
  <si>
    <t>Conic Home Theater Remote</t>
  </si>
  <si>
    <t>CTS Home Theater Remote</t>
  </si>
  <si>
    <t>Dapic Home Theater Remote</t>
  </si>
  <si>
    <t>Deltron Home Theater Remote</t>
  </si>
  <si>
    <t>Enkor Home Theater Remote</t>
  </si>
  <si>
    <t>F&amp;D Home Theater Remote</t>
  </si>
  <si>
    <t>Humax Home Theater Remote</t>
  </si>
  <si>
    <t>Hybon Home Theater Remote</t>
  </si>
  <si>
    <t>iBall Home Theater Remote</t>
  </si>
  <si>
    <t>Impex Home Theater Remote</t>
  </si>
  <si>
    <t>Intex Home Theater Remote</t>
  </si>
  <si>
    <t>John Barrel Home Theater Remote</t>
  </si>
  <si>
    <t>Kingsonic Home Theater Remote</t>
  </si>
  <si>
    <t>LG Home Theater Remote</t>
  </si>
  <si>
    <t>Mack Home Theater Remote</t>
  </si>
  <si>
    <t>Marq Home Theater Remote</t>
  </si>
  <si>
    <t>Mitsun Home Theater Remote</t>
  </si>
  <si>
    <t>Oscar Home Theater Remote</t>
  </si>
  <si>
    <t>Panasonic Home Theater Remote</t>
  </si>
  <si>
    <t>Philips Home Theater Remote</t>
  </si>
  <si>
    <t>Richardo Home Theater Remote</t>
  </si>
  <si>
    <t>Samsung Home Theater Remote</t>
  </si>
  <si>
    <t>Santosh Home Theater Remote</t>
  </si>
  <si>
    <t>Sony Home Theater Remote</t>
  </si>
  <si>
    <t>Stone Home Theater Remote</t>
  </si>
  <si>
    <t>Takai Home Theater Remote</t>
  </si>
  <si>
    <t>Target Home Theater Remote</t>
  </si>
  <si>
    <t>Yamaha Home Theater Remote</t>
  </si>
  <si>
    <t>Amstrad AC Remote</t>
  </si>
  <si>
    <t>Croma AC Remote</t>
  </si>
  <si>
    <t>Cruise AC Remote</t>
  </si>
  <si>
    <t>Daikin AC Remote</t>
  </si>
  <si>
    <t>Aura AC Remote</t>
  </si>
  <si>
    <t>Aux AC Remote</t>
  </si>
  <si>
    <t>Azure AC Remote</t>
  </si>
  <si>
    <t>Hyundai AC Remote</t>
  </si>
  <si>
    <t>Kelvinator AC Remote</t>
  </si>
  <si>
    <t>Kenstar AC Remote</t>
  </si>
  <si>
    <t>Electrolux AC Remote</t>
  </si>
  <si>
    <t>IFB AC Remote</t>
  </si>
  <si>
    <t>Epson Projector Remote</t>
  </si>
  <si>
    <t>Panasonic AC Remote</t>
  </si>
  <si>
    <t>Intec AC Remote</t>
  </si>
  <si>
    <t>Llyod AC Remote</t>
  </si>
  <si>
    <t>Bluestar AC Remote</t>
  </si>
  <si>
    <t>Intex AC Remote</t>
  </si>
  <si>
    <t>Samsung AC Remote</t>
  </si>
  <si>
    <t>Sanyo AC Remote</t>
  </si>
  <si>
    <t>Camipro AC Remote</t>
  </si>
  <si>
    <t>Forbes AC Remote</t>
  </si>
  <si>
    <t>Reconnect AC Remote</t>
  </si>
  <si>
    <t>Carrier AC Remote</t>
  </si>
  <si>
    <t>Marq AC Remote</t>
  </si>
  <si>
    <t>Koryo AC Remote</t>
  </si>
  <si>
    <t>Sony Projector Remote</t>
  </si>
  <si>
    <t>Akai AC Remote</t>
  </si>
  <si>
    <t>Godrej AC Remote</t>
  </si>
  <si>
    <t>Haier AC Remote</t>
  </si>
  <si>
    <t>Hisense AC Remote</t>
  </si>
  <si>
    <t>Hitachi AC Remote</t>
  </si>
  <si>
    <t>LG AC Remote</t>
  </si>
  <si>
    <t>Microcool AC Remote</t>
  </si>
  <si>
    <t>Micromax AC Remote</t>
  </si>
  <si>
    <t>Midea AC Remote</t>
  </si>
  <si>
    <t>Mitashi AC Remote</t>
  </si>
  <si>
    <t>Mitsubishi AC Remote</t>
  </si>
  <si>
    <t>Napolean AC Remote</t>
  </si>
  <si>
    <t>Neurofuzzy AC Remote</t>
  </si>
  <si>
    <t>Nitoshi AC Remote</t>
  </si>
  <si>
    <t>O General AC Remote</t>
  </si>
  <si>
    <t>Onida AC Remote</t>
  </si>
  <si>
    <t>Sansui AC Remote</t>
  </si>
  <si>
    <t>Sanyo Projector Remote</t>
  </si>
  <si>
    <t>Sharp AC Remote</t>
  </si>
  <si>
    <t>Sony Car Tape Remote</t>
  </si>
  <si>
    <t>TCL AC Remote</t>
  </si>
  <si>
    <t>Toshiba AC Remote</t>
  </si>
  <si>
    <t>Totalline AC Remote</t>
  </si>
  <si>
    <t>USB FM Remote</t>
  </si>
  <si>
    <t>Vestar AC Remote</t>
  </si>
  <si>
    <t>Videocon AC Remote</t>
  </si>
  <si>
    <t>Vise AC Remote</t>
  </si>
  <si>
    <t>Voltas AC Remote</t>
  </si>
  <si>
    <t>Whirlpool AC Remote</t>
  </si>
  <si>
    <t>York AC Remote</t>
  </si>
  <si>
    <t>Ad Keyword</t>
  </si>
  <si>
    <t>Realme</t>
  </si>
  <si>
    <t>panasonic lcd led tv plasma remote control original 21 22 24 32 42 40 43 55 65 80 4k android inch hd full bracket ultra smart 3d netflix googleplay google assistant voice command mic amazon youtube 4k</t>
  </si>
  <si>
    <t>akai lcd led tv plasma remote control original 21 22 24 32 42 40 43 55 65 80 4k android inch hd full bracket ultra smart 3d netflix googleplay google assistant voice command mic amazon youtube 4k</t>
  </si>
  <si>
    <t>videocon lcd led tv plasma remote control original 21 22 24 32 42 40 43 55 65 80 4k android inch hd full bracket ultra smart 3d netflix googleplay google assistant voice command mic amazon youtube 4k</t>
  </si>
  <si>
    <t>koryo lcd led tv plasma remote control original 21 22 24 32 42 40 43 55 65 80 4k android inch hd full bracket ultra smart 3d netflix googleplay google assistant voice command mic amazon youtube 4k</t>
  </si>
  <si>
    <t>vu lcd led tv plasma remote control original 21 22 24 32 42 40 43 55 65 80 4k android inch hd full bracket ultra smart 3d netflix googleplay google assistant voice command mic amazon youtube 4k</t>
  </si>
  <si>
    <t>AOC 3 lcd led tv plasma remote control original 21 22 24 32 42 40 43 55 65 80 4k android inch hd full bracket ultra smart 3d netflix googleplay google assistant voice command mic amazon youtube 4k</t>
  </si>
  <si>
    <t>funai lcd led tv plasma remote control original 21 22 24 32 42 40 43 55 65 80 4k android inch hd full bracket ultra smart 3d netflix googleplay google assistant voice command mic amazon youtube 4k</t>
  </si>
  <si>
    <t>futec lcd led tv plasma remote control original 21 22 24 32 42 40 43 55 65 80 4k android inch hd full bracket ultra smart 3d netflix googleplay google assistant voice command mic amazon youtube 4k</t>
  </si>
  <si>
    <t>genus lcd led tv plasma remote control original 21 22 24 32 42 40 43 55 65 80 4k android inch hd full bracket ultra smart 3d netflix googleplay google assistant voice command mic amazon youtube 4k</t>
  </si>
  <si>
    <t>le55b9500u le32k6500ag 32b9500wb haier lcd led tv plasma remote control original 21 22 24 32 42 40 43 55 65 80 4k android inch hd full bracket ultra smart 3d netflix googleplay google assistant voice command mic amazon youtube 4k</t>
  </si>
  <si>
    <t>32 20 3204 3213 3226 intex lcd led tv plasma remote control original 21 22 24 32 42 40 43 55 65 80 4k android inch hd full bracket ultra smart 3d netflix googleplay google assistant voice command mic amazon youtube 4k</t>
  </si>
  <si>
    <t>llyod lcd led tv plasma remote control original 21 22 24 32 42 40 43 55 65 80 4k android inch hd full bracket ultra smart 3d netflix googleplay google assistant voice command mic amazon youtube 4k</t>
  </si>
  <si>
    <t>micromax lcd led tv plasma remote control original 21 22 24 32 42 40 43 55 65 80 4k android inch hd full bracket ultra smart 3d netflix googleplay google assistant voice command mic amazon youtube 4k</t>
  </si>
  <si>
    <t>mitashi lcd led tv plasma remote control original 21 22 24 32 42 40 43 55 65 80 4k android inch hd full bracket ultra smart 3d netflix googleplay google assistant voice command mic amazon youtube 4k</t>
  </si>
  <si>
    <t>tvs philips lcd led tv plasma remote control original 21 22 24 32 42 40 43 55 65 80 4k android inch hd full bracket ultra smart 3d netflix googleplay google assistant voice command mic amazon youtube 4k</t>
  </si>
  <si>
    <t>reliance reconnect lcd led tv plasma remote control original 21 22 24 32 42 40 43 55 65 80 4k android inch hd full bracket ultra smart 3d netflix googleplay google assistant voice command mic amazon youtube 4k</t>
  </si>
  <si>
    <t>sharp lcd led tv plasma remote control original 21 22 24 32 42 40 43 55 65 80 4k android inch hd full bracket ultra smart 3d netflix googleplay google assistant voice command mic amazon youtube 4k</t>
  </si>
  <si>
    <t>toshiba lcd led tv plasma remote control original 21 22 24 32 42 40 43 55 65 80 4k android inch hd full bracket ultra smart 3d netflix googleplay google assistant voice command mic amazon youtube 4k</t>
  </si>
  <si>
    <t>godrej lcd led tv plasma remote control original 21 22 24 32 42 40 43 55 65 80 4k android inch hd full bracket ultra smart 3d netflix googleplay google assistant voice command mic amazon youtube 4k</t>
  </si>
  <si>
    <t>hyundai lcd led tv plasma remote control original 21 22 24 32 42 40 43 55 65 80 4k android inch hd full bracket ultra smart 3d netflix googleplay google assistant voice command mic amazon youtube 4k</t>
  </si>
  <si>
    <t>tcl lcd led tv plasma remote control original 21 22 24 32 42 40 43 55 65 80 4k android inch hd full bracket ultra smart 3d netflix googleplay google assistant voice command mic amazon youtube 4k</t>
  </si>
  <si>
    <t>mi lcd led tv plasma remote control original 21 22 24 32 42 40 43 55 65 80 4k android inch hd full bracket ultra smart 3d netflix googleplay google assistant voice command mic amazon youtube 4k 4A</t>
  </si>
  <si>
    <t>hisense lcd led tv plasma remote control original 21 22 24 32 42 40 43 55 65 80 4k android inch hd full bracket ultra smart 3d netflix googleplay google assistant voice command mic amazon youtube 4k 4A</t>
  </si>
  <si>
    <t>hom lcd led tv plasma remote control original 21 22 24 32 42 40 43 55 65 80 4k android inch hd full bracket ultra smart 3d netflix googleplay google assistant voice command mic amazon youtube 4k 4A</t>
  </si>
  <si>
    <t>sanyo lcd led tv plasma remote control original 21 22 24 32 42 40 43 55 65 80 4k android inch hd full bracket ultra smart 3d netflix googleplay google assistant voice command mic amazon youtube 4k 4A</t>
  </si>
  <si>
    <t>thomson lcd led tv plasma remote control original 21 22 24 32 42 40 43 55 65 80 4k android inch hd full bracket ultra smart 3d netflix googleplay google assistant voice command mic amazon youtube 4k 4A</t>
  </si>
  <si>
    <t>le lcd led tv plasma remote control original 21 22 24 32 42 40 43 55 65 80 4k android inch hd full bracket ultra smart 3d netflix googleplay google assistant voice command mic amazon youtube 4k 4A</t>
  </si>
  <si>
    <t>onix lcd led tv plasma remote control original 21 22 24 32 42 40 43 55 65 80 4k android inch hd full bracket ultra smart 3d netflix googleplay google assistant voice command mic amazon youtube 4k 4A</t>
  </si>
  <si>
    <t>cloud walker lcd led tv plasma remote control original 21 22 24 32 42 40 43 55 65 80 4k android inch hd full bracket ultra smart 3d netflix googleplay google assistant voice command mic amazon youtube 4k</t>
  </si>
  <si>
    <t>marq flipkart lcd led tv plasma remote control original 21 22 24 32 42 40 43 55 65 80 4k android inch hd full bracket ultra smart 3d netflix googleplay google assistant voice command mic amazon youtube 4k</t>
  </si>
  <si>
    <t>worldtech lcd led tv plasma remote control original 21 22 24 32 42 40 43 55 65 80 4k android inch hd full bracket ultra smart 3d netflix googleplay google assistant voice command mic amazon youtube 4k</t>
  </si>
  <si>
    <t>kodak lcd led tv plasma remote control original 21 22 24 32 42 40 43 55 65 80 4k android inch hd full bracket ultra smart 3d netflix googleplay google assistant voice command mic amazon youtube 4k 4A</t>
  </si>
  <si>
    <t>skyworth lcd led tv plasma remote control original 21 22 24 32 42 40 43 55 65 80 4k android inch hd full bracket ultra smart 3d netflix googleplay google assistant voice command mic amazon youtube 4k 4A</t>
  </si>
  <si>
    <t>nokia lcd led tv plasma remote control original 21 22 24 32 42 40 43 55 65 80 4k android inch hd full bracket ultra smart 3d netflix googleplay google assistant voice command mic amazon youtube 4k 4A</t>
  </si>
  <si>
    <t>motorola lcd led tv plasma remote control original 21 22 24 32 42 40 43 55 65 80 4k android inch hd full bracket ultra smart 3d netflix googleplay google assistant voice command mic amazon youtube 4k 4A</t>
  </si>
  <si>
    <t>mitashi lcd led tv plasma remote control original 21 22 24 32 42 40 43 55 65 80 4k android inch hd full bracket ultra smart 3d netflix googleplay google assistant voice command mic amazon youtube 4k 4A</t>
  </si>
  <si>
    <t>blaupunkt lcd led tv plasma remote control original 21 22 24 32 42 40 43 55 65 80 4k android inch hd full bracket ultra smart 3d netflix googleplay google assistant voice command mic amazon youtube 4k 4A</t>
  </si>
  <si>
    <t>oneplus 1+ lcd led tv plasma remote control original 21 22 24 32 42 40 43 55 65 80 4k android inch hd full bracket ultra smart 3d netflix googleplay google assistant voice command mic amazon youtube 4k 4A</t>
  </si>
  <si>
    <t>realme lcd led tv plasma remote control original 21 22 24 32 42 40 43 55 65 80 4k android inch hd full bracket ultra smart 3d netflix googleplay google assistant voice command mic amazon youtube 4k 4A</t>
  </si>
  <si>
    <t>weston lcd led tv plasma remote control original 21 22 24 32 42 40 43 55 65 80 4k android inch hd full bracket ultra smart google assistant voice command mic</t>
  </si>
  <si>
    <t>sony bravia lcd led tv plasma remote control original 21 22 24 32 42 40 43 55 65 80 4k android inch hd full bracket ultra smart 3d googleplay netflix youtube rm ga022 rmt-tx112p google assistant voice command mic</t>
  </si>
  <si>
    <t>samsung lcd led tv plasma remote control original 21 22 24 32 42 40 43 55 65 80 4k android inch hd full bracket ultra smart 3d BN59-607A netflix googleplay amazon youtube 4k BN59-01259B google assistant voice command mic</t>
  </si>
  <si>
    <t>sansui lcd led tv plasma remote control original 21 22 24 32 42 40 43 55 65 80 4k android inch hd full bracket ultra smart 3d smt22 s2gg netflix googleplay amazon youtube 4k google assistant voice command mic</t>
  </si>
  <si>
    <t>lg lcd led tv plasma remote control original 21 22 24 32 42 40 43 55 65 80 4k android inch hd full bracket ultra smart 32lj573d 3d netflix googleplay amazon youtube 4k google assistant voice command mic</t>
  </si>
  <si>
    <t>onida lcd led tv plasma remote control original 21 22 24 32 42 40 43 55 65 80 4k android inch hd full bracket ultra smart 3d diamond series 29 netflix googleplay amazon youtube 4k google assistant voice command mic</t>
  </si>
  <si>
    <t>Realme Android TV Remote</t>
  </si>
  <si>
    <t>Realme LCD Remote</t>
  </si>
  <si>
    <t>Realme LCD/LED TV Remote</t>
  </si>
  <si>
    <t>Realme LED Remote</t>
  </si>
  <si>
    <t>Realme Smart TV Remote</t>
  </si>
  <si>
    <t>Realme TV Remote</t>
  </si>
  <si>
    <t>Realme Voice Remote</t>
  </si>
  <si>
    <t>1.3m</t>
  </si>
  <si>
    <t>2.7m</t>
  </si>
  <si>
    <t>4.5m</t>
  </si>
  <si>
    <t>9.1m</t>
  </si>
  <si>
    <t>13.7m</t>
  </si>
  <si>
    <t>18.2m</t>
  </si>
  <si>
    <t>1.3m Male to Female</t>
  </si>
  <si>
    <t>10cm Male to Female</t>
  </si>
  <si>
    <t>L-Shaped Male to Female Jointer</t>
  </si>
  <si>
    <t>Female to Female Jointer</t>
  </si>
  <si>
    <t>1m</t>
  </si>
  <si>
    <t>1.5m</t>
  </si>
  <si>
    <t>2m</t>
  </si>
  <si>
    <t>Laptop</t>
  </si>
  <si>
    <t>Computer</t>
  </si>
  <si>
    <t>L-shaped</t>
  </si>
  <si>
    <t>12V 1A Power Adapter</t>
  </si>
  <si>
    <t>DC Pin</t>
  </si>
  <si>
    <t>Vtech Pin</t>
  </si>
  <si>
    <t>DC &amp; Sony Pin</t>
  </si>
  <si>
    <t>12V 2A Power Adapter</t>
  </si>
  <si>
    <t>Centre Pin</t>
  </si>
  <si>
    <t>12V 500mA Power Adapter</t>
  </si>
  <si>
    <t>10V 1A Power Adapter</t>
  </si>
  <si>
    <t>9V 1A Power Adapter</t>
  </si>
  <si>
    <t>9V 2A Power Adapter</t>
  </si>
  <si>
    <t>9V 500mA Power Adapter</t>
  </si>
  <si>
    <t>7.5V 1A Power Adapter</t>
  </si>
  <si>
    <t>7.5V 500mA Power Adapter</t>
  </si>
  <si>
    <t>6V 1A Power Adapter</t>
  </si>
  <si>
    <t>6V 500mA Power Adapter</t>
  </si>
  <si>
    <t>5V 1A Power Adapter</t>
  </si>
  <si>
    <t>5V 2A Power Adapter</t>
  </si>
  <si>
    <t>4.5V 500mA Power Adapter</t>
  </si>
  <si>
    <t>4 in 1 Pin</t>
  </si>
  <si>
    <t>3V 500mA Power Adapter</t>
  </si>
  <si>
    <t>Travel Adaptor</t>
  </si>
  <si>
    <t>Graphic Status</t>
  </si>
  <si>
    <t>Upix® Male to Male HDMI Cable - Supports All HDMI Devices, High Speed 3D, 4K, Full HD 1080p (Cable Lengths Available - 1.3m to 18.2m)</t>
  </si>
  <si>
    <t>Upix® Male to Female HDMI Extension Cable 10 cm - Works with Chromecast, Android TV, Laptop, and Windows PC</t>
  </si>
  <si>
    <t>Upix® 90 Degree Right Angle HDMI Adapter Male to Female, 90 Degree HDMI Bend, L-Shaped HDMI Jointer</t>
  </si>
  <si>
    <t>Upix® Male to Male VGA Cable - Supports PC, Monitor, TV, LCD/LED, Plasma, Projector, TFT (Cable Lengths Available - 1.3m to 18.2m)</t>
  </si>
  <si>
    <t>Upix USB A Male to USB B Male Printer Cable (Cable Lengths Available - 1.3m to 9.1m)</t>
  </si>
  <si>
    <t>Upix® Male to Female HDMI Extension Cable 1.3 Meters (4.3 Feet) - Supports 4K 3D Resolution, Works with Xbox, PS3/PS4, Blu Ray Player, HDTV, Laptop/PC, Chromecast, and Android TV</t>
  </si>
  <si>
    <t>Upix® HDMI Adapter Female to Female Extender Jointer</t>
  </si>
  <si>
    <t>Upix® 3RCA Male to 3RCA Male Audio Video Cable, Compatible for TV, LCD, LED, DTH, DVD, VCR (Cable Lengths Available - 1.3m to 9.1m)</t>
  </si>
  <si>
    <t>Upix® 3.5mm Stereo Male to 2RCA Male Audio Cable (EP to 2RCA) - Connects Mobile and Home Theatre (Cable Lengths Available - 1.3m, 2.7m)</t>
  </si>
  <si>
    <t>Upix® Male to Male 6.35mm Jack to 2RCA Audio Cable 1.3 Meters (4.3 Feet) - Connects Home Theatre, DVD, Speaker, Headphone, Mixer, Amplifier, Guitar, Karaoke System</t>
  </si>
  <si>
    <t>Upix® Ethernet Patch Cord CAT5E, RJ45 LAN Cable (Cable Lengths Available - 1.3m to 9.1m)</t>
  </si>
  <si>
    <t>Upix USB Male to Female Extension Cable - Supports LCD, LED, TV, PC, Laptop USB Ports (Cable Lengths Available - 1.3m to 9.1m)</t>
  </si>
  <si>
    <t>Upix® Digital Optical Fiber Audio Cable, Transmission Bandwidth up to 250Mb/s (Cable Lengths Available - 1.3m to 4.5m)</t>
  </si>
  <si>
    <t>Upix® 3Pin Power Cord 1.3 Meters (4.3 Feet) for Laptop</t>
  </si>
  <si>
    <t>Upix® 3Pin Power Cord 1.3 Meters (4.3 Feet) for Computer Monitor (Desktop), Printer, UPS, SMPS, Scanner</t>
  </si>
  <si>
    <t>Upix® 2Pin Power Cord with L-shaped Adapter 1.3 Meters (4.3 Feet) for Laptop, Printer, Camera, LCD/TFT CRT Monitor</t>
  </si>
  <si>
    <t>Graphic Text</t>
  </si>
  <si>
    <t>Graphic Text for PE</t>
  </si>
  <si>
    <t>Graphic Text for Upix®</t>
  </si>
  <si>
    <t>Upix® 12V 1A DC Power Adapter, Power Supply AC Input 100-240 V for Set Top Box, DTH Box, CCTV System, Router, LED Light Strip, Other Electronics &amp; IT Gadgets (Pin Variants Available: DC, Vtech, DC &amp; Sony)</t>
  </si>
  <si>
    <t>Upix® 12V 2A DC Power Adapter, Power Supply AC Input 100-240 V for Set Top Box, DTH Box, CCTV System, Router, LED Light Strip, LCD, Monitor, Other Electronics &amp; IT Gadgets (Pin Variants Available: DC, Vtech, Centre, DC &amp; Sony)</t>
  </si>
  <si>
    <t>Upix® 10V 1A DC Power Adapter, Power Supply AC Input 100-240 V for Electronic &amp; IT Gadgets (with DC &amp; Sony Pin)</t>
  </si>
  <si>
    <t>Upix® 9V 1A DC Power Adapter, Power Supply AC Input 100-240 V for Music Keyboard, Piano, Cordless Phones (Works with Casio Keyboards), Other Electronics &amp; IT Gadgets (Pin Variants Available: DC, DC &amp; Sony)</t>
  </si>
  <si>
    <t>Upix® 9V 2A DC Power Adapter, Power Supply AC Input 100-240 V for Electronic &amp; IT Gadgets (with DC &amp; Sony Pin)</t>
  </si>
  <si>
    <t>Upix® 9V 500mA DC Power Adapter, Power Supply AC Input 100-240 V for Music Keyboard, Piano, Cordless Phones (Works with Casio Keyboards), Other Electronics &amp; IT Gadgets (with DC Pin)</t>
  </si>
  <si>
    <t>Upix® 7.5V 1A Power Adapter, Power Supply AC Input 200-240 V for Other Electronics &amp; IT Gadgets (with DC &amp; Sony Pin)</t>
  </si>
  <si>
    <t>Upix® 7.5V 500mA DC Power Adapter, Power Supply AC Input 200-240 V for Music Keyboard, Piano, Cordless Phones (Works with Casio Keyboard) (with DC Pin)</t>
  </si>
  <si>
    <t>Upix® 6V 1A DC Power Adapter, Power Supply AC Input 100-240 V for DTH Box, Set Top Box, Modem, Router, LED Light Strip, Blood Pressure Monitor Machine, FM Radio, Other Electronics &amp; IT Gadgets (Pin Variants Available: DC, DC &amp; Sony)</t>
  </si>
  <si>
    <t>Sony Pin</t>
  </si>
  <si>
    <t>Upix® 6V 500mA DC Power Adapter, Power Supply AC Input 200-240 V for Toys, Cordless Phones, FM Radio, Other Electronics &amp; IT Gadgets (Pin Variants Available: DC, Vtech)</t>
  </si>
  <si>
    <t>6.5V 500mA Power Adapter</t>
  </si>
  <si>
    <t>Upix® 6.5V 500mA DC Power Adapter, Power Supply AC Input 200-240 V for Toys, Cordless Phones, FM Radio, Other Electronics &amp; IT Gadgets (with Sony Pin)</t>
  </si>
  <si>
    <t>Upix® 5V 1A DC Power Adapter, Power Supply AC Input 100-240 V for Set Top Box, DTH Box, Router, Modem, Torch, Other Electronics &amp; IT Gadgets (Pin Variants Available: DC, Vtech, DC &amp; Sony)</t>
  </si>
  <si>
    <t>Upix® 5V 2A DC Power Adapter, Power Supply AC Input 100-240 V for Set Top Box, DTH Box, Router, Modem, Other Electronics &amp; IT Gadgets (Pin Variants Available: Vtech, DC &amp; Sony)</t>
  </si>
  <si>
    <t>Upix® 4.5V 500mA DC Power Adapter, Power Supply AC Input 200-240 V for FM Radio, Torch, Toys, Other Electronics &amp; IT Gadgets (with 4 Pin)</t>
  </si>
  <si>
    <t>Upix® 3V 500mA DC Power Adapter, Power Supply AC Input 200-240 V for FM Radio, Toys, Torch, Other Electronics &amp; IT Gadgets (with 4 Pin)</t>
  </si>
  <si>
    <t>Upix® Universal Travel Adapter with 125V 6A, 250V Surge/Spike Protected Electrical Plug (White)</t>
  </si>
  <si>
    <t>9.5V 500mA Power Adapter</t>
  </si>
  <si>
    <t>Upix® 9V 500mA DC Power Adapter, Power Supply AC Input 100-240 V for Cordless Phones, Other Electronics &amp; IT Gadgets (with Vtech Pin)</t>
  </si>
  <si>
    <t>Upix® 9.5V 500mA DC Power Adapter, Power Supply AC Input 100-240 V for Music Keyboard, Piano (Works with Casio Keyboard), Other Electronics &amp; IT Gadgets (with Sony Pin)</t>
  </si>
  <si>
    <t>Upix® 6.35mm to 3.5mm Stereo Jack Cable, 6.35mm 1/4 inch to 3.5mm 1/8 inch TRS Stereo Audio Cable 1.3 Meters (4.3 Feet) for iPod, Laptop, Smartphone, PC, Home Theater, Guitar, Amplifier and Mixing Console</t>
  </si>
  <si>
    <t>Upix® Auxiliary (Aux) Audio Cable for Car Stereo, Mobile, Amplifier, Tablet, Headphones, Home Theatre &amp; Speaker (Cable Lengths Available - 1m, 1.5m, 2m)</t>
  </si>
  <si>
    <t>Doordarshan Free Dish</t>
  </si>
  <si>
    <t>In Cable</t>
  </si>
  <si>
    <t>HDMI Cables &amp; Jointers</t>
  </si>
  <si>
    <t>VGA Cables</t>
  </si>
  <si>
    <t>3RCA to 3RCA Audio Video Cables</t>
  </si>
  <si>
    <t>USB Printer Cables</t>
  </si>
  <si>
    <t>Stereo to 2RCA Cables</t>
  </si>
  <si>
    <t>Amplifier Jack to 2RCA Cables</t>
  </si>
  <si>
    <t>Stereo to Amplifier Jack Cables</t>
  </si>
  <si>
    <t>Aux Cables</t>
  </si>
  <si>
    <t>Ethernet (LAN) Cables</t>
  </si>
  <si>
    <t>USB Extension Cables</t>
  </si>
  <si>
    <t>Optical Cables</t>
  </si>
  <si>
    <t>Power Cords</t>
  </si>
  <si>
    <t>Amazon Fire TV Stick Remotes</t>
  </si>
  <si>
    <t>Fire TV Stick</t>
  </si>
  <si>
    <t>Amazon</t>
  </si>
  <si>
    <t>PE Sub-category Title in Product Catalog</t>
  </si>
  <si>
    <t>Upix Sub-category Title in Product Catalog</t>
  </si>
  <si>
    <t>Sub-category Title in Product Catalog</t>
  </si>
  <si>
    <t>Variants</t>
  </si>
  <si>
    <t>Remote Type</t>
  </si>
  <si>
    <t>Type</t>
  </si>
  <si>
    <t>Variant</t>
  </si>
  <si>
    <t>4 x 1 Power Strip</t>
  </si>
  <si>
    <t>2 Yard Cable</t>
  </si>
  <si>
    <t>5 Yard Cable</t>
  </si>
  <si>
    <t>4 x 4 Power Strip</t>
  </si>
  <si>
    <t>6 x 1 Power Strip</t>
  </si>
  <si>
    <t>6 x 6 Power Strip</t>
  </si>
  <si>
    <t>Cordless Bell</t>
  </si>
  <si>
    <t>DVD/Home Theatre System</t>
  </si>
  <si>
    <t>Smart TV LCD/LED</t>
  </si>
  <si>
    <t>Car Audio</t>
  </si>
  <si>
    <t>Amazon Basics</t>
  </si>
  <si>
    <t>Xiaomi Mi</t>
  </si>
  <si>
    <t>Cloud Walker</t>
  </si>
  <si>
    <t>Napoleon</t>
  </si>
  <si>
    <t>Keyword 1</t>
  </si>
  <si>
    <t>Keyword 4</t>
  </si>
  <si>
    <t>Keyword 3</t>
  </si>
  <si>
    <t>Keyword 2</t>
  </si>
  <si>
    <t>Keyword 5</t>
  </si>
  <si>
    <t>Sony Bravia</t>
  </si>
  <si>
    <t>Universal USB FM Remote</t>
  </si>
  <si>
    <t>USB FM Radio Remote</t>
  </si>
  <si>
    <t>Remote for USB FM Radio</t>
  </si>
  <si>
    <t>DTH/Set Top Box</t>
  </si>
  <si>
    <t>1.3m HDMI Cable</t>
  </si>
  <si>
    <t>4k HDMI Cable</t>
  </si>
  <si>
    <t>TV HDMI Cable</t>
  </si>
  <si>
    <t>2.7m HDMI Cable</t>
  </si>
  <si>
    <t>1.5m HDMI Cable</t>
  </si>
  <si>
    <t>3m HDMI Cable</t>
  </si>
  <si>
    <t>4.5m HDMI Cable</t>
  </si>
  <si>
    <t>5m HDMI Cable</t>
  </si>
  <si>
    <t>9.1m HDMI Cable</t>
  </si>
  <si>
    <t>13.7m HDMI Cable</t>
  </si>
  <si>
    <t>18.2m HDMI Cable</t>
  </si>
  <si>
    <t>30ft HDMI Cable</t>
  </si>
  <si>
    <t>45 ft HDMI Cable</t>
  </si>
  <si>
    <t>15m HDMI Cable</t>
  </si>
  <si>
    <t>10m HDMI Cable</t>
  </si>
  <si>
    <t>15 ft ft HDMI Cable</t>
  </si>
  <si>
    <t>4.5 ft HDMI Cable</t>
  </si>
  <si>
    <t>9 ft HDMI Cable</t>
  </si>
  <si>
    <t>60 ft HDMI Cable</t>
  </si>
  <si>
    <t>20 HDMI Cable</t>
  </si>
  <si>
    <t>1.3m VGA Cable</t>
  </si>
  <si>
    <t>4.5 ft VGA Cable</t>
  </si>
  <si>
    <t>1.5m VGA Cable</t>
  </si>
  <si>
    <t>4k VGA Cable</t>
  </si>
  <si>
    <t>TV VGA Cable</t>
  </si>
  <si>
    <t>2.7m VGA Cable</t>
  </si>
  <si>
    <t>9 ft VGA Cable</t>
  </si>
  <si>
    <t>3m VGA Cable</t>
  </si>
  <si>
    <t>4.5m VGA Cable</t>
  </si>
  <si>
    <t>15 ft ft VGA Cable</t>
  </si>
  <si>
    <t>5m VGA Cable</t>
  </si>
  <si>
    <t>9.1m VGA Cable</t>
  </si>
  <si>
    <t>30ft VGA Cable</t>
  </si>
  <si>
    <t>10m VGA Cable</t>
  </si>
  <si>
    <t>13.7m VGA Cable</t>
  </si>
  <si>
    <t>45 ft VGA Cable</t>
  </si>
  <si>
    <t>15m VGA Cable</t>
  </si>
  <si>
    <t>18.2m VGA Cable</t>
  </si>
  <si>
    <t>60 ft VGA Cable</t>
  </si>
  <si>
    <t>20 VGA Cable</t>
  </si>
  <si>
    <t>12V 1A DC Power Supply</t>
  </si>
  <si>
    <t>Adapter for Set Top Box</t>
  </si>
  <si>
    <t>Adapter for DTH</t>
  </si>
  <si>
    <t>Adapter for CCTV System</t>
  </si>
  <si>
    <t>1.3m USB Printer Cable</t>
  </si>
  <si>
    <t>Type A to Type B Printer Cable</t>
  </si>
  <si>
    <t>1.5m Printer Cable</t>
  </si>
  <si>
    <t>Cable for USB Printer</t>
  </si>
  <si>
    <t>Printer Cable</t>
  </si>
  <si>
    <t>4.5m USB Printer Cable</t>
  </si>
  <si>
    <t>9.1m USB Printer Cable</t>
  </si>
  <si>
    <t>5m Printer Cable</t>
  </si>
  <si>
    <t>10m Printer Cable</t>
  </si>
  <si>
    <t>1.3m HDMI Extension Cable</t>
  </si>
  <si>
    <t>4.5ft HDMI Extension Cable</t>
  </si>
  <si>
    <t>HDMI Extension Cable for Smart TV</t>
  </si>
  <si>
    <t>HDMI Extension Cable for Chromecast</t>
  </si>
  <si>
    <t>HDMI Extension Cable for Laptop/TV</t>
  </si>
  <si>
    <t>10cm HDMI Extension Cable</t>
  </si>
  <si>
    <t>10cm HDMI Male to Female Cable</t>
  </si>
  <si>
    <t>90 Degree HDMI Adapter</t>
  </si>
  <si>
    <t>L Shaped HDMI Jointer</t>
  </si>
  <si>
    <t>HDMI Jointer</t>
  </si>
  <si>
    <t>Male to Female HDMI Jointer</t>
  </si>
  <si>
    <t>HDMI Extension Jointer for Chromecast</t>
  </si>
  <si>
    <t>HDMI Extension Jointer for Laptop/TV</t>
  </si>
  <si>
    <t>Female to Female HDMI Extender</t>
  </si>
  <si>
    <t>HDMI Extender</t>
  </si>
  <si>
    <t>HDMI Adapter</t>
  </si>
  <si>
    <t>Adapter for Router</t>
  </si>
  <si>
    <t>Adapter for LED Light</t>
  </si>
  <si>
    <t>3RCA Cable</t>
  </si>
  <si>
    <t>Audio Video Cable</t>
  </si>
  <si>
    <t>AV Cable</t>
  </si>
  <si>
    <t>1.3m 3RCA to 3RCA Cable</t>
  </si>
  <si>
    <t>4.5 ft Male to Male 3RCA Cable</t>
  </si>
  <si>
    <t>2.7m 3RCA to 3RCA Cable</t>
  </si>
  <si>
    <t>4.5m 3RCA to 3RCA Cable</t>
  </si>
  <si>
    <t>9 ft Male to Male 3RCA Cable</t>
  </si>
  <si>
    <t>15 ft Male to Male 3RCA Cable</t>
  </si>
  <si>
    <t>30 ft Male to Male 3RCA Cable</t>
  </si>
  <si>
    <t>1.3m EP to 2RCA Cable</t>
  </si>
  <si>
    <t>Aux to 2RCA Cable</t>
  </si>
  <si>
    <t>Stereo to 2RCA Cable</t>
  </si>
  <si>
    <t>4.5 ft Stereo to 2RCA</t>
  </si>
  <si>
    <t>Mobile to Home Theatre Cable</t>
  </si>
  <si>
    <t>2.7m EP to 2RCA Cable</t>
  </si>
  <si>
    <t>9 ft Stereo to 2RCA Cable</t>
  </si>
  <si>
    <t>1.3m 6.35mm Jack to 2RCA Cable</t>
  </si>
  <si>
    <t>4.5 ft Amplifier to 2RCA Cable</t>
  </si>
  <si>
    <t>Stereo Jack Cable</t>
  </si>
  <si>
    <t>Amplifier to Home Theatre Cable</t>
  </si>
  <si>
    <t>Amplifier Jack to Home Theatre Cable</t>
  </si>
  <si>
    <t>1m Aux Cable</t>
  </si>
  <si>
    <t>1.5m Aux Cable</t>
  </si>
  <si>
    <t>Car Stereo Cable</t>
  </si>
  <si>
    <t>Male to Male Aux Cable</t>
  </si>
  <si>
    <t>TV to Headphone Cable</t>
  </si>
  <si>
    <t>2m Aux Cable</t>
  </si>
  <si>
    <t>Mobile to Car Stereo Cable</t>
  </si>
  <si>
    <t>1.3m LAN Cable</t>
  </si>
  <si>
    <t>2.7m LAN Cable</t>
  </si>
  <si>
    <t>4.5m LAN Cable</t>
  </si>
  <si>
    <t>9.1m LAN Cable</t>
  </si>
  <si>
    <t>9.1m 3RCA to 3RCA Cable</t>
  </si>
  <si>
    <t>4.5 ft Ethernet Cable</t>
  </si>
  <si>
    <t xml:space="preserve">9 ft Ethernet Cable </t>
  </si>
  <si>
    <t>Patch Cord</t>
  </si>
  <si>
    <t>CAT5E Cable</t>
  </si>
  <si>
    <t>RJ45 Male to Male Cable</t>
  </si>
  <si>
    <t>30 ft Ethernet Cable</t>
  </si>
  <si>
    <t>15 ft Ethernet Cable</t>
  </si>
  <si>
    <t>1.5m USB Extension Cable</t>
  </si>
  <si>
    <t>2.7m USB Extension Cable</t>
  </si>
  <si>
    <t>4.5m USB Extension Cable</t>
  </si>
  <si>
    <t>9.1m USB Extension Cable</t>
  </si>
  <si>
    <t>4.5 ft USB Male to Female Cable</t>
  </si>
  <si>
    <t>9 ft USB Male to Female Cable</t>
  </si>
  <si>
    <t>15 ft USB Male to Female Cable</t>
  </si>
  <si>
    <t>30 ft USB Male to Female Cable</t>
  </si>
  <si>
    <t>USB Male to USB Female Cable</t>
  </si>
  <si>
    <t>USB Extension Cable for TV</t>
  </si>
  <si>
    <t>USB Extension Cable for Laptop/PC</t>
  </si>
  <si>
    <t>1.3m Optical Fibre</t>
  </si>
  <si>
    <t>2.7m Optical Fibre</t>
  </si>
  <si>
    <t>4.5m Optical Fibre</t>
  </si>
  <si>
    <t>4.5 ft Optical Cable</t>
  </si>
  <si>
    <t>9 ft Optical Cable</t>
  </si>
  <si>
    <t>15 ft Optical Cable</t>
  </si>
  <si>
    <t>Digital Optical Cable</t>
  </si>
  <si>
    <t>Digital Optical Fiber Audio Cable</t>
  </si>
  <si>
    <t>Digital Audio Cable</t>
  </si>
  <si>
    <t>Power Cord</t>
  </si>
  <si>
    <t>1.3m Laptop Power Cord</t>
  </si>
  <si>
    <t>1.3m Computer Power Cord</t>
  </si>
  <si>
    <t>1.3m 2Pin L shaped Power Cord</t>
  </si>
  <si>
    <t>Power Cord for Laptop Charger</t>
  </si>
  <si>
    <t>Power Cord for Computer/PC</t>
  </si>
  <si>
    <t>4.5 ft Power Cord</t>
  </si>
  <si>
    <t>Power Cord for LCD Monitor</t>
  </si>
  <si>
    <t>Power Cord for Printer, Monitor</t>
  </si>
  <si>
    <t>4.5 ft Power Cord for Camera</t>
  </si>
  <si>
    <t>Power Cable for Laptop</t>
  </si>
  <si>
    <t>Power Cable for Computer/PC</t>
  </si>
  <si>
    <t>Adapter for LCD Monitor</t>
  </si>
  <si>
    <t>12V 2A Power Supply</t>
  </si>
  <si>
    <t>Adapter for Router, LED Strip</t>
  </si>
  <si>
    <t>12V 500mA Power Supply</t>
  </si>
  <si>
    <t>Adapter for Cordless Phones</t>
  </si>
  <si>
    <t>Upix® 12V 500mA DC Power Adapter, Power Supply AC Input 100-240 V for Set Top Box, DTH Box, CCTV System, Router, Cordless Phones, LED Light Strip, Other Electronics &amp; IT Gadgets (with DC Pin)</t>
  </si>
  <si>
    <t>10V 1A Power Supply</t>
  </si>
  <si>
    <t>Adapter for TV Tuner Card</t>
  </si>
  <si>
    <t>Travel Adapter</t>
  </si>
  <si>
    <t>Universal World Pin</t>
  </si>
  <si>
    <t>Universal Travel Adapter</t>
  </si>
  <si>
    <t>Travel Adapter with 125V 6A, 250V Surge/Spike Protected Electrical Plug</t>
  </si>
  <si>
    <t>9V 1A Power Supply</t>
  </si>
  <si>
    <t>9V 2A Power Supply</t>
  </si>
  <si>
    <t>9V 500mA Power Supply</t>
  </si>
  <si>
    <t>7.5V 1A Power Supply</t>
  </si>
  <si>
    <t>7.5V 500mA Power Supply</t>
  </si>
  <si>
    <t>6V 1A Power Supply</t>
  </si>
  <si>
    <t>6V 500mA Power Supply</t>
  </si>
  <si>
    <t>6.5V 500mA Power Supply</t>
  </si>
  <si>
    <t>5V 1A Power Supply</t>
  </si>
  <si>
    <t>5V 2A Power Supply</t>
  </si>
  <si>
    <t>4.5V 500mA Power Supply</t>
  </si>
  <si>
    <t>3V 500mA Power Supply</t>
  </si>
  <si>
    <t>9.5V 500mA Power Supply</t>
  </si>
  <si>
    <t>Adapter for Casio Keyboards</t>
  </si>
  <si>
    <t>Adapter for Music Keyboard</t>
  </si>
  <si>
    <t>Adapter for BP Monitor Machine</t>
  </si>
  <si>
    <t>Adapter for Modem, Router</t>
  </si>
  <si>
    <t>Adapter for FM Radio</t>
  </si>
  <si>
    <t>Adapter for Toys</t>
  </si>
  <si>
    <t>Adapter for DTH, Set Top Box</t>
  </si>
  <si>
    <t>Adapter for Torch</t>
  </si>
  <si>
    <t>Avoir</t>
  </si>
  <si>
    <t>Specs</t>
  </si>
  <si>
    <t>12V 1A DC Supply Power Adapter</t>
  </si>
  <si>
    <t>12V 2A DC Supply Power Adapter</t>
  </si>
  <si>
    <t>Universal Power Adapter</t>
  </si>
  <si>
    <t>5V 1A DC Supply Power Adapter</t>
  </si>
  <si>
    <t>5V 2A DC Supply Power Adapter</t>
  </si>
  <si>
    <t>6V 1A DC Supply Power Adapter</t>
  </si>
  <si>
    <t>7.5V 500mA DC Supply Power Adapter</t>
  </si>
  <si>
    <t>9V 1A DC Supply Power Adapter</t>
  </si>
  <si>
    <t>9V 2A DC Supply Power Adapter</t>
  </si>
  <si>
    <t>10V 1A DC Supply Power Adapter</t>
  </si>
  <si>
    <t>9V 500mA DC Supply Power Adapter</t>
  </si>
  <si>
    <t>12V 500mA DC Supply Power Adapter</t>
  </si>
  <si>
    <t>6V 500mA DC Supply Power Adapter</t>
  </si>
  <si>
    <t>3V 500mA DC Supply Power Adapter</t>
  </si>
  <si>
    <t>4.5V 500mA DC Supply Power Adapter</t>
  </si>
  <si>
    <t>7.5V 1A DC Supply Power Adapter</t>
  </si>
  <si>
    <t>9V 500mA DC Power Adapter</t>
  </si>
  <si>
    <t>9.5V 500mA DC Power Adapter</t>
  </si>
  <si>
    <t>6V 500mA DC Power Adapter</t>
  </si>
  <si>
    <t>6.5V 500mA DC Power Adapter</t>
  </si>
  <si>
    <t>Set Top Box, DTH Box, CCTV System, Router, LED Light Strip, Other Electronics &amp; IT Gadgets</t>
  </si>
  <si>
    <t>Applications</t>
  </si>
  <si>
    <t>Electronic &amp; IT Gadgets</t>
  </si>
  <si>
    <t>LCD, Monitor, Electronic &amp; IT Gadgets</t>
  </si>
  <si>
    <t>Music Keyboard, Piano, Cordless Phones (Works with Casio Keyboards), Other Electronics &amp; IT Gadgets</t>
  </si>
  <si>
    <t>Other Electronics &amp; IT Gadgets</t>
  </si>
  <si>
    <t>Music Keyboard, Piano, Cordless Phones (Works with Casio Keyboard)</t>
  </si>
  <si>
    <t>DTH Box, Set Top Box, Modem, Router, LED Light Strip, Blood Pressure Monitor Machine, FM Radio, Other Electronics &amp; IT Gadgets</t>
  </si>
  <si>
    <t>Toys, Cordless Phones, FM Radio, Other Electronics &amp; IT Gadgets</t>
  </si>
  <si>
    <t>Set Top Box, DTH Box, Router, Modem, Torch, Other Electronics &amp; IT Gadgets</t>
  </si>
  <si>
    <t>Router, Modem, Set Top Box, DTH Box, Torch, Other Electronics &amp; IT Gadgets</t>
  </si>
  <si>
    <t>Set Top Box, DTH Box, Router, Modem, Other Electronics &amp; IT Gadgets</t>
  </si>
  <si>
    <t>FM Radio, Torch, Toys, Other Electronics &amp; IT Gadgets</t>
  </si>
  <si>
    <t>FM Radio, Toys, Torch, Other Electronics &amp; IT Gadgets</t>
  </si>
  <si>
    <t>Plugs from 150+ Countries</t>
  </si>
  <si>
    <t>Cordless Phones, Other Electronics &amp; IT Gadgets</t>
  </si>
  <si>
    <t>Music Keyboard, Piano (Works with Casio Keyboard), Other Electronics &amp; IT Gadgets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</si>
</sst>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Calibri"/>
      <family val="2"/>
    </font>
    <font>
      <sz val="11"/>
      <color rgb="FF000000"/>
      <name val="Calibri"/>
      <family val="2"/>
    </font>
    <font>
      <sz val="11"/>
      <name val="Calibri"/>
      <family val="2"/>
    </font>
    <font>
      <sz val="11"/>
      <name val="Calibri"/>
      <family val="2"/>
    </font>
    <font>
      <sz val="11"/>
      <color theme="1"/>
      <name val="Calibri"/>
      <family val="2"/>
    </font>
    <font>
      <sz val="11"/>
      <name val="Calibri"/>
      <family val="2"/>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3"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48">
    <xf numFmtId="0" fontId="0" fillId="0" borderId="0" xfId="0"/>
    <xf numFmtId="0" fontId="0" fillId="0" borderId="1" xfId="0" applyBorder="1"/>
    <xf numFmtId="0" fontId="2" fillId="2" borderId="1" xfId="0" applyFont="1" applyFill="1" applyBorder="1" applyAlignment="1" applyProtection="1">
      <alignment horizontal="left" vertical="center"/>
      <protection locked="0"/>
    </xf>
    <xf numFmtId="0" fontId="1" fillId="3" borderId="1" xfId="0" applyFont="1" applyFill="1" applyBorder="1"/>
    <xf numFmtId="0" fontId="0" fillId="3" borderId="1" xfId="0" applyFill="1" applyBorder="1"/>
    <xf numFmtId="0" fontId="0" fillId="4" borderId="1" xfId="0" applyFill="1" applyBorder="1"/>
    <xf numFmtId="0" fontId="1" fillId="0" borderId="0" xfId="0" applyFont="1"/>
    <xf numFmtId="0" fontId="3" fillId="0" borderId="1" xfId="1" applyBorder="1" applyAlignment="1">
      <alignment horizontal="center" vertical="center" wrapText="1"/>
    </xf>
    <xf numFmtId="0" fontId="3" fillId="0" borderId="1" xfId="1" applyBorder="1" applyAlignment="1">
      <alignment vertical="center"/>
    </xf>
    <xf numFmtId="0" fontId="4" fillId="0" borderId="1" xfId="1" applyFont="1" applyBorder="1"/>
    <xf numFmtId="0" fontId="2" fillId="0" borderId="1" xfId="1" applyFont="1" applyBorder="1" applyAlignment="1">
      <alignment horizontal="center" vertical="center" wrapText="1"/>
    </xf>
    <xf numFmtId="0" fontId="2" fillId="0" borderId="1" xfId="1" applyFont="1" applyBorder="1" applyAlignment="1">
      <alignment vertical="center"/>
    </xf>
    <xf numFmtId="0" fontId="1" fillId="0" borderId="1" xfId="0" applyFont="1" applyBorder="1"/>
    <xf numFmtId="0" fontId="0" fillId="0" borderId="1" xfId="0" applyBorder="1" applyAlignment="1">
      <alignment horizontal="center" vertical="center" wrapText="1"/>
    </xf>
    <xf numFmtId="0" fontId="0" fillId="0" borderId="1" xfId="0" applyBorder="1" applyAlignment="1">
      <alignment wrapText="1"/>
    </xf>
    <xf numFmtId="0" fontId="1" fillId="4" borderId="1" xfId="0" applyFont="1" applyFill="1" applyBorder="1"/>
    <xf numFmtId="0" fontId="1" fillId="0" borderId="1" xfId="0" applyFont="1" applyBorder="1" applyAlignment="1">
      <alignment vertical="center"/>
    </xf>
    <xf numFmtId="0" fontId="0" fillId="0" borderId="1" xfId="0"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3" fillId="3" borderId="1" xfId="1" applyFill="1" applyBorder="1" applyAlignment="1">
      <alignment horizontal="left" vertical="center"/>
    </xf>
    <xf numFmtId="0" fontId="0" fillId="0" borderId="1" xfId="0" applyBorder="1" applyAlignment="1">
      <alignment horizontal="left"/>
    </xf>
    <xf numFmtId="0" fontId="0" fillId="3" borderId="1" xfId="0" applyFill="1" applyBorder="1" applyAlignment="1">
      <alignment horizontal="left" vertical="center"/>
    </xf>
    <xf numFmtId="0" fontId="2" fillId="3" borderId="1" xfId="1" applyFont="1" applyFill="1" applyBorder="1" applyAlignment="1">
      <alignment horizontal="left" vertical="center"/>
    </xf>
    <xf numFmtId="0" fontId="0" fillId="0" borderId="1" xfId="0" applyBorder="1" applyAlignment="1">
      <alignment horizontal="left" wrapText="1"/>
    </xf>
    <xf numFmtId="0" fontId="6" fillId="0" borderId="1" xfId="0" applyFont="1" applyBorder="1" applyAlignment="1">
      <alignment horizontal="left"/>
    </xf>
    <xf numFmtId="0" fontId="6" fillId="0" borderId="1" xfId="0" applyFont="1" applyBorder="1" applyAlignment="1">
      <alignment horizontal="left" wrapText="1"/>
    </xf>
    <xf numFmtId="0" fontId="0" fillId="0" borderId="1" xfId="0" applyBorder="1" applyAlignment="1" applyProtection="1">
      <alignment horizontal="left"/>
      <protection locked="0"/>
    </xf>
    <xf numFmtId="0" fontId="0" fillId="3" borderId="1" xfId="0" applyFill="1" applyBorder="1" applyAlignment="1">
      <alignment horizontal="left" wrapText="1"/>
    </xf>
    <xf numFmtId="0" fontId="1" fillId="4" borderId="1" xfId="0" applyFont="1" applyFill="1" applyBorder="1" applyAlignment="1">
      <alignment horizontal="left"/>
    </xf>
    <xf numFmtId="0" fontId="1" fillId="4" borderId="1" xfId="0" applyFont="1" applyFill="1" applyBorder="1" applyAlignment="1">
      <alignment horizontal="left" vertical="center"/>
    </xf>
    <xf numFmtId="0" fontId="5" fillId="0" borderId="1" xfId="1" applyFont="1" applyBorder="1" applyAlignment="1">
      <alignment horizontal="center" vertical="center" wrapText="1"/>
    </xf>
    <xf numFmtId="0" fontId="1" fillId="5" borderId="1" xfId="0" applyFont="1" applyFill="1" applyBorder="1"/>
    <xf numFmtId="0" fontId="2" fillId="0" borderId="1" xfId="1" applyFont="1" applyBorder="1" applyAlignment="1">
      <alignment horizontal="center" vertical="center" wrapText="1"/>
    </xf>
    <xf numFmtId="0" fontId="4" fillId="0" borderId="1" xfId="1" applyFont="1" applyBorder="1"/>
    <xf numFmtId="0" fontId="3" fillId="0" borderId="1" xfId="1" applyBorder="1" applyAlignment="1">
      <alignment horizontal="center" vertical="center" wrapText="1"/>
    </xf>
    <xf numFmtId="0" fontId="5" fillId="0" borderId="1" xfId="1" applyFont="1" applyBorder="1" applyAlignment="1">
      <alignment horizontal="center" vertical="center"/>
    </xf>
    <xf numFmtId="0" fontId="4" fillId="0" borderId="1" xfId="1" applyFont="1" applyBorder="1" applyAlignment="1">
      <alignment horizontal="center" vertical="center"/>
    </xf>
    <xf numFmtId="0" fontId="0" fillId="0" borderId="1" xfId="0"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7" fillId="0" borderId="1" xfId="1" applyFont="1" applyBorder="1"/>
  </cellXfs>
  <cellStyles count="2">
    <cellStyle name="Normal" xfId="0" builtinId="0"/>
    <cellStyle name="Normal 2" xfId="1" xr:uid="{6F3416B2-B0DD-41AC-A9E1-28FC1262487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4"/>
  <sheetViews>
    <sheetView topLeftCell="A181" zoomScaleNormal="100" workbookViewId="0">
      <selection activeCell="A206" sqref="A206"/>
    </sheetView>
  </sheetViews>
  <sheetFormatPr defaultColWidth="9.109375" defaultRowHeight="14.4" x14ac:dyDescent="0.3"/>
  <cols>
    <col min="1" max="1" width="6.6640625" style="4" bestFit="1" customWidth="1"/>
    <col min="2" max="2" width="25" style="4" bestFit="1" customWidth="1"/>
    <col min="3" max="3" width="19.6640625" style="4" customWidth="1"/>
    <col min="4" max="4" width="35.33203125" style="4" customWidth="1"/>
    <col min="5" max="5" width="43.21875" style="4" bestFit="1" customWidth="1"/>
    <col min="6" max="6" width="43.21875" style="4" customWidth="1"/>
    <col min="7" max="7" width="45.33203125" style="4" bestFit="1" customWidth="1"/>
    <col min="8" max="8" width="53.6640625" style="4" bestFit="1" customWidth="1"/>
    <col min="9" max="9" width="66.77734375" style="4" bestFit="1" customWidth="1"/>
    <col min="10" max="10" width="53.44140625" style="4" bestFit="1" customWidth="1"/>
    <col min="11" max="11" width="9" style="4" customWidth="1"/>
    <col min="12" max="12" width="13.33203125" style="4" customWidth="1"/>
    <col min="13" max="13" width="16.33203125" style="4" customWidth="1"/>
    <col min="14" max="14" width="53.33203125" style="4" customWidth="1"/>
    <col min="15" max="15" width="105.33203125" style="4" customWidth="1"/>
    <col min="16" max="16" width="58" style="4" customWidth="1"/>
    <col min="17" max="17" width="110.5546875" style="4" customWidth="1"/>
    <col min="18" max="18" width="238" style="4" customWidth="1"/>
    <col min="19" max="19" width="76.33203125" style="4" customWidth="1"/>
    <col min="20" max="20" width="226.109375" style="4" customWidth="1"/>
    <col min="21" max="32" width="9.109375" style="4" customWidth="1"/>
    <col min="33" max="33" width="19" style="4" bestFit="1" customWidth="1"/>
    <col min="34" max="16384" width="9.109375" style="4"/>
  </cols>
  <sheetData>
    <row r="1" spans="1:20" s="3" customFormat="1" x14ac:dyDescent="0.3">
      <c r="A1" s="3" t="s">
        <v>0</v>
      </c>
      <c r="B1" s="3" t="s">
        <v>1333</v>
      </c>
      <c r="C1" s="3" t="s">
        <v>578</v>
      </c>
      <c r="D1" s="3" t="s">
        <v>595</v>
      </c>
      <c r="E1" s="32" t="s">
        <v>652</v>
      </c>
      <c r="F1" s="32" t="s">
        <v>1350</v>
      </c>
      <c r="G1" s="32" t="s">
        <v>1353</v>
      </c>
      <c r="H1" s="32" t="s">
        <v>1352</v>
      </c>
      <c r="I1" s="32" t="s">
        <v>1351</v>
      </c>
      <c r="J1" s="32" t="s">
        <v>1354</v>
      </c>
      <c r="K1" s="3" t="s">
        <v>645</v>
      </c>
      <c r="L1" s="15" t="s">
        <v>1269</v>
      </c>
      <c r="M1" s="3" t="s">
        <v>1</v>
      </c>
      <c r="N1" s="3" t="s">
        <v>1329</v>
      </c>
      <c r="O1" s="15" t="s">
        <v>1287</v>
      </c>
      <c r="P1" s="3" t="s">
        <v>1330</v>
      </c>
      <c r="Q1" s="15" t="s">
        <v>1288</v>
      </c>
      <c r="R1" s="3" t="s">
        <v>640</v>
      </c>
      <c r="S1" s="3" t="s">
        <v>641</v>
      </c>
      <c r="T1" s="3" t="s">
        <v>642</v>
      </c>
    </row>
    <row r="2" spans="1:20" x14ac:dyDescent="0.3">
      <c r="A2" s="4">
        <v>1</v>
      </c>
      <c r="B2" s="4" t="s">
        <v>3</v>
      </c>
      <c r="C2" s="4" t="s">
        <v>2</v>
      </c>
      <c r="D2" s="4" t="str">
        <f t="shared" ref="D2:D33" si="0">C2&amp;" "&amp;B2</f>
        <v>Llyod AC</v>
      </c>
      <c r="E2" s="5" t="str">
        <f>D2&amp;" Remotes"</f>
        <v>Llyod AC Remotes</v>
      </c>
      <c r="F2" s="4" t="str">
        <f>D2&amp;" Remote Control"</f>
        <v>Llyod AC Remote Control</v>
      </c>
      <c r="G2" s="4" t="str">
        <f>"Remote for "&amp;D2</f>
        <v>Remote for Llyod AC</v>
      </c>
      <c r="H2" s="4" t="str">
        <f>C2&amp;" Air Conditioner Remote"</f>
        <v>Llyod Air Conditioner Remote</v>
      </c>
      <c r="I2" s="4" t="str">
        <f>B2&amp;" Remote for "&amp;D2</f>
        <v>AC Remote for Llyod AC</v>
      </c>
      <c r="J2" s="4" t="str">
        <f>F2&amp;" Not Working"</f>
        <v>Llyod AC Remote Control Not Working</v>
      </c>
      <c r="K2" s="4" t="s">
        <v>646</v>
      </c>
      <c r="M2" s="4" t="s">
        <v>529</v>
      </c>
      <c r="N2" s="4" t="str">
        <f>"Compatible "&amp;E2</f>
        <v>Compatible Llyod AC Remotes</v>
      </c>
      <c r="O2" s="1" t="str">
        <f>"Get Any "&amp;N2&amp;" Easily at Your Door-steps"</f>
        <v>Get Any Compatible Llyod AC Remotes Easily at Your Door-steps</v>
      </c>
      <c r="P2" s="1" t="str">
        <f>"Upix® "&amp;N2</f>
        <v>Upix® Compatible Llyod AC Remotes</v>
      </c>
      <c r="Q2" s="1" t="str">
        <f>"Get Any "&amp;P2&amp;" Easily at Your Door-steps"</f>
        <v>Get Any Upix® Compatible Llyod AC Remotes Easily at Your Door-steps</v>
      </c>
      <c r="R2" s="1" t="s">
        <v>643</v>
      </c>
      <c r="S2" s="4" t="str">
        <f>"Upix® "&amp;N2</f>
        <v>Upix® Compatible Llyod AC Remotes</v>
      </c>
      <c r="T2" s="1" t="s">
        <v>644</v>
      </c>
    </row>
    <row r="3" spans="1:20" x14ac:dyDescent="0.3">
      <c r="A3" s="4">
        <v>2</v>
      </c>
      <c r="B3" s="4" t="s">
        <v>3</v>
      </c>
      <c r="C3" s="4" t="s">
        <v>4</v>
      </c>
      <c r="D3" s="4" t="str">
        <f t="shared" si="0"/>
        <v>Whirlpool AC</v>
      </c>
      <c r="E3" s="5" t="str">
        <f t="shared" ref="E3:E66" si="1">D3&amp;" Remotes"</f>
        <v>Whirlpool AC Remotes</v>
      </c>
      <c r="F3" s="4" t="str">
        <f t="shared" ref="F3:F66" si="2">D3&amp;" Remote Control"</f>
        <v>Whirlpool AC Remote Control</v>
      </c>
      <c r="G3" s="4" t="str">
        <f t="shared" ref="G3:G66" si="3">"Remote for "&amp;D3</f>
        <v>Remote for Whirlpool AC</v>
      </c>
      <c r="H3" s="4" t="str">
        <f t="shared" ref="H3:H51" si="4">C3&amp;" Air Conditioner Remote"</f>
        <v>Whirlpool Air Conditioner Remote</v>
      </c>
      <c r="I3" s="4" t="str">
        <f t="shared" ref="I3:I66" si="5">B3&amp;" Remote for "&amp;D3</f>
        <v>AC Remote for Whirlpool AC</v>
      </c>
      <c r="J3" s="4" t="str">
        <f t="shared" ref="J3:J51" si="6">F3&amp;" Not Working"</f>
        <v>Whirlpool AC Remote Control Not Working</v>
      </c>
      <c r="K3" s="4" t="s">
        <v>646</v>
      </c>
      <c r="L3" s="4" t="s">
        <v>646</v>
      </c>
      <c r="M3" s="4" t="s">
        <v>521</v>
      </c>
      <c r="N3" s="4" t="str">
        <f t="shared" ref="N3:N66" si="7">"Compatible "&amp;E3</f>
        <v>Compatible Whirlpool AC Remotes</v>
      </c>
      <c r="O3" s="1" t="str">
        <f t="shared" ref="O3:O66" si="8">"Get Any "&amp;N3&amp;" Easily at Your Door-steps"</f>
        <v>Get Any Compatible Whirlpool AC Remotes Easily at Your Door-steps</v>
      </c>
      <c r="P3" s="1" t="str">
        <f t="shared" ref="P3:P66" si="9">"Upix® "&amp;N3</f>
        <v>Upix® Compatible Whirlpool AC Remotes</v>
      </c>
      <c r="Q3" s="1" t="str">
        <f t="shared" ref="Q3:Q66" si="10">"Get Any "&amp;P3&amp;" Easily at Your Door-steps"</f>
        <v>Get Any Upix® Compatible Whirlpool AC Remotes Easily at Your Door-steps</v>
      </c>
      <c r="R3" s="1" t="s">
        <v>643</v>
      </c>
      <c r="S3" s="4" t="str">
        <f t="shared" ref="S3:S66" si="11">"Upix® "&amp;N3</f>
        <v>Upix® Compatible Whirlpool AC Remotes</v>
      </c>
      <c r="T3" s="1" t="s">
        <v>644</v>
      </c>
    </row>
    <row r="4" spans="1:20" x14ac:dyDescent="0.3">
      <c r="A4" s="4">
        <v>3</v>
      </c>
      <c r="B4" s="4" t="s">
        <v>3</v>
      </c>
      <c r="C4" s="4" t="s">
        <v>5</v>
      </c>
      <c r="D4" s="4" t="str">
        <f t="shared" si="0"/>
        <v>Voltas AC</v>
      </c>
      <c r="E4" s="5" t="str">
        <f t="shared" si="1"/>
        <v>Voltas AC Remotes</v>
      </c>
      <c r="F4" s="4" t="str">
        <f t="shared" si="2"/>
        <v>Voltas AC Remote Control</v>
      </c>
      <c r="G4" s="4" t="str">
        <f t="shared" si="3"/>
        <v>Remote for Voltas AC</v>
      </c>
      <c r="H4" s="4" t="str">
        <f t="shared" si="4"/>
        <v>Voltas Air Conditioner Remote</v>
      </c>
      <c r="I4" s="4" t="str">
        <f t="shared" si="5"/>
        <v>AC Remote for Voltas AC</v>
      </c>
      <c r="J4" s="4" t="str">
        <f t="shared" si="6"/>
        <v>Voltas AC Remote Control Not Working</v>
      </c>
      <c r="K4" s="4" t="s">
        <v>646</v>
      </c>
      <c r="L4" s="4" t="s">
        <v>646</v>
      </c>
      <c r="M4" s="4" t="s">
        <v>524</v>
      </c>
      <c r="N4" s="4" t="str">
        <f t="shared" si="7"/>
        <v>Compatible Voltas AC Remotes</v>
      </c>
      <c r="O4" s="1" t="str">
        <f t="shared" si="8"/>
        <v>Get Any Compatible Voltas AC Remotes Easily at Your Door-steps</v>
      </c>
      <c r="P4" s="1" t="str">
        <f t="shared" si="9"/>
        <v>Upix® Compatible Voltas AC Remotes</v>
      </c>
      <c r="Q4" s="1" t="str">
        <f t="shared" si="10"/>
        <v>Get Any Upix® Compatible Voltas AC Remotes Easily at Your Door-steps</v>
      </c>
      <c r="R4" s="1" t="s">
        <v>643</v>
      </c>
      <c r="S4" s="4" t="str">
        <f t="shared" si="11"/>
        <v>Upix® Compatible Voltas AC Remotes</v>
      </c>
      <c r="T4" s="1" t="s">
        <v>644</v>
      </c>
    </row>
    <row r="5" spans="1:20" x14ac:dyDescent="0.3">
      <c r="A5" s="4">
        <v>4</v>
      </c>
      <c r="B5" s="4" t="s">
        <v>3</v>
      </c>
      <c r="C5" s="4" t="s">
        <v>6</v>
      </c>
      <c r="D5" s="4" t="str">
        <f t="shared" si="0"/>
        <v>Godrej AC</v>
      </c>
      <c r="E5" s="5" t="str">
        <f t="shared" si="1"/>
        <v>Godrej AC Remotes</v>
      </c>
      <c r="F5" s="4" t="str">
        <f t="shared" si="2"/>
        <v>Godrej AC Remote Control</v>
      </c>
      <c r="G5" s="4" t="str">
        <f t="shared" si="3"/>
        <v>Remote for Godrej AC</v>
      </c>
      <c r="H5" s="4" t="str">
        <f t="shared" si="4"/>
        <v>Godrej Air Conditioner Remote</v>
      </c>
      <c r="I5" s="4" t="str">
        <f t="shared" si="5"/>
        <v>AC Remote for Godrej AC</v>
      </c>
      <c r="J5" s="4" t="str">
        <f t="shared" si="6"/>
        <v>Godrej AC Remote Control Not Working</v>
      </c>
      <c r="K5" s="4" t="s">
        <v>646</v>
      </c>
      <c r="L5" s="4" t="s">
        <v>646</v>
      </c>
      <c r="M5" s="4" t="s">
        <v>525</v>
      </c>
      <c r="N5" s="4" t="str">
        <f t="shared" si="7"/>
        <v>Compatible Godrej AC Remotes</v>
      </c>
      <c r="O5" s="1" t="str">
        <f t="shared" si="8"/>
        <v>Get Any Compatible Godrej AC Remotes Easily at Your Door-steps</v>
      </c>
      <c r="P5" s="1" t="str">
        <f t="shared" si="9"/>
        <v>Upix® Compatible Godrej AC Remotes</v>
      </c>
      <c r="Q5" s="1" t="str">
        <f t="shared" si="10"/>
        <v>Get Any Upix® Compatible Godrej AC Remotes Easily at Your Door-steps</v>
      </c>
      <c r="R5" s="1" t="s">
        <v>643</v>
      </c>
      <c r="S5" s="4" t="str">
        <f t="shared" si="11"/>
        <v>Upix® Compatible Godrej AC Remotes</v>
      </c>
      <c r="T5" s="1" t="s">
        <v>644</v>
      </c>
    </row>
    <row r="6" spans="1:20" x14ac:dyDescent="0.3">
      <c r="A6" s="4">
        <v>5</v>
      </c>
      <c r="B6" s="4" t="s">
        <v>3</v>
      </c>
      <c r="C6" s="4" t="s">
        <v>7</v>
      </c>
      <c r="D6" s="4" t="str">
        <f t="shared" si="0"/>
        <v>Kelvinator AC</v>
      </c>
      <c r="E6" s="5" t="str">
        <f t="shared" si="1"/>
        <v>Kelvinator AC Remotes</v>
      </c>
      <c r="F6" s="4" t="str">
        <f t="shared" si="2"/>
        <v>Kelvinator AC Remote Control</v>
      </c>
      <c r="G6" s="4" t="str">
        <f t="shared" si="3"/>
        <v>Remote for Kelvinator AC</v>
      </c>
      <c r="H6" s="4" t="str">
        <f t="shared" si="4"/>
        <v>Kelvinator Air Conditioner Remote</v>
      </c>
      <c r="I6" s="4" t="str">
        <f t="shared" si="5"/>
        <v>AC Remote for Kelvinator AC</v>
      </c>
      <c r="J6" s="4" t="str">
        <f t="shared" si="6"/>
        <v>Kelvinator AC Remote Control Not Working</v>
      </c>
      <c r="K6" s="4" t="s">
        <v>646</v>
      </c>
      <c r="M6" s="4" t="s">
        <v>530</v>
      </c>
      <c r="N6" s="4" t="str">
        <f t="shared" si="7"/>
        <v>Compatible Kelvinator AC Remotes</v>
      </c>
      <c r="O6" s="1" t="str">
        <f t="shared" si="8"/>
        <v>Get Any Compatible Kelvinator AC Remotes Easily at Your Door-steps</v>
      </c>
      <c r="P6" s="1" t="str">
        <f t="shared" si="9"/>
        <v>Upix® Compatible Kelvinator AC Remotes</v>
      </c>
      <c r="Q6" s="1" t="str">
        <f t="shared" si="10"/>
        <v>Get Any Upix® Compatible Kelvinator AC Remotes Easily at Your Door-steps</v>
      </c>
      <c r="R6" s="1" t="s">
        <v>643</v>
      </c>
      <c r="S6" s="4" t="str">
        <f t="shared" si="11"/>
        <v>Upix® Compatible Kelvinator AC Remotes</v>
      </c>
      <c r="T6" s="1" t="s">
        <v>644</v>
      </c>
    </row>
    <row r="7" spans="1:20" x14ac:dyDescent="0.3">
      <c r="A7" s="4">
        <v>6</v>
      </c>
      <c r="B7" s="4" t="s">
        <v>3</v>
      </c>
      <c r="C7" s="4" t="s">
        <v>8</v>
      </c>
      <c r="D7" s="4" t="str">
        <f t="shared" si="0"/>
        <v>Cruise AC</v>
      </c>
      <c r="E7" s="5" t="str">
        <f t="shared" si="1"/>
        <v>Cruise AC Remotes</v>
      </c>
      <c r="F7" s="4" t="str">
        <f t="shared" si="2"/>
        <v>Cruise AC Remote Control</v>
      </c>
      <c r="G7" s="4" t="str">
        <f t="shared" si="3"/>
        <v>Remote for Cruise AC</v>
      </c>
      <c r="H7" s="4" t="str">
        <f t="shared" si="4"/>
        <v>Cruise Air Conditioner Remote</v>
      </c>
      <c r="I7" s="4" t="str">
        <f t="shared" si="5"/>
        <v>AC Remote for Cruise AC</v>
      </c>
      <c r="J7" s="4" t="str">
        <f t="shared" si="6"/>
        <v>Cruise AC Remote Control Not Working</v>
      </c>
      <c r="K7" s="4" t="s">
        <v>646</v>
      </c>
      <c r="M7" s="4" t="s">
        <v>531</v>
      </c>
      <c r="N7" s="4" t="str">
        <f t="shared" si="7"/>
        <v>Compatible Cruise AC Remotes</v>
      </c>
      <c r="O7" s="1" t="str">
        <f t="shared" si="8"/>
        <v>Get Any Compatible Cruise AC Remotes Easily at Your Door-steps</v>
      </c>
      <c r="P7" s="1" t="str">
        <f t="shared" si="9"/>
        <v>Upix® Compatible Cruise AC Remotes</v>
      </c>
      <c r="Q7" s="1" t="str">
        <f t="shared" si="10"/>
        <v>Get Any Upix® Compatible Cruise AC Remotes Easily at Your Door-steps</v>
      </c>
      <c r="R7" s="1" t="s">
        <v>643</v>
      </c>
      <c r="S7" s="4" t="str">
        <f t="shared" si="11"/>
        <v>Upix® Compatible Cruise AC Remotes</v>
      </c>
      <c r="T7" s="1" t="s">
        <v>644</v>
      </c>
    </row>
    <row r="8" spans="1:20" x14ac:dyDescent="0.3">
      <c r="A8" s="4">
        <v>7</v>
      </c>
      <c r="B8" s="4" t="s">
        <v>3</v>
      </c>
      <c r="C8" s="4" t="s">
        <v>9</v>
      </c>
      <c r="D8" s="4" t="str">
        <f t="shared" si="0"/>
        <v>Videocon AC</v>
      </c>
      <c r="E8" s="5" t="str">
        <f t="shared" si="1"/>
        <v>Videocon AC Remotes</v>
      </c>
      <c r="F8" s="4" t="str">
        <f t="shared" si="2"/>
        <v>Videocon AC Remote Control</v>
      </c>
      <c r="G8" s="4" t="str">
        <f t="shared" si="3"/>
        <v>Remote for Videocon AC</v>
      </c>
      <c r="H8" s="4" t="str">
        <f t="shared" si="4"/>
        <v>Videocon Air Conditioner Remote</v>
      </c>
      <c r="I8" s="4" t="str">
        <f t="shared" si="5"/>
        <v>AC Remote for Videocon AC</v>
      </c>
      <c r="J8" s="4" t="str">
        <f t="shared" si="6"/>
        <v>Videocon AC Remote Control Not Working</v>
      </c>
      <c r="K8" s="4" t="s">
        <v>646</v>
      </c>
      <c r="M8" s="4" t="s">
        <v>522</v>
      </c>
      <c r="N8" s="4" t="str">
        <f t="shared" si="7"/>
        <v>Compatible Videocon AC Remotes</v>
      </c>
      <c r="O8" s="1" t="str">
        <f t="shared" si="8"/>
        <v>Get Any Compatible Videocon AC Remotes Easily at Your Door-steps</v>
      </c>
      <c r="P8" s="1" t="str">
        <f t="shared" si="9"/>
        <v>Upix® Compatible Videocon AC Remotes</v>
      </c>
      <c r="Q8" s="1" t="str">
        <f t="shared" si="10"/>
        <v>Get Any Upix® Compatible Videocon AC Remotes Easily at Your Door-steps</v>
      </c>
      <c r="R8" s="1" t="s">
        <v>643</v>
      </c>
      <c r="S8" s="4" t="str">
        <f t="shared" si="11"/>
        <v>Upix® Compatible Videocon AC Remotes</v>
      </c>
      <c r="T8" s="1" t="s">
        <v>644</v>
      </c>
    </row>
    <row r="9" spans="1:20" x14ac:dyDescent="0.3">
      <c r="A9" s="4">
        <v>8</v>
      </c>
      <c r="B9" s="4" t="s">
        <v>3</v>
      </c>
      <c r="C9" s="4" t="s">
        <v>10</v>
      </c>
      <c r="D9" s="4" t="str">
        <f t="shared" si="0"/>
        <v>Kenstar AC</v>
      </c>
      <c r="E9" s="5" t="str">
        <f t="shared" si="1"/>
        <v>Kenstar AC Remotes</v>
      </c>
      <c r="F9" s="4" t="str">
        <f t="shared" si="2"/>
        <v>Kenstar AC Remote Control</v>
      </c>
      <c r="G9" s="4" t="str">
        <f t="shared" si="3"/>
        <v>Remote for Kenstar AC</v>
      </c>
      <c r="H9" s="4" t="str">
        <f t="shared" si="4"/>
        <v>Kenstar Air Conditioner Remote</v>
      </c>
      <c r="I9" s="4" t="str">
        <f t="shared" si="5"/>
        <v>AC Remote for Kenstar AC</v>
      </c>
      <c r="J9" s="4" t="str">
        <f t="shared" si="6"/>
        <v>Kenstar AC Remote Control Not Working</v>
      </c>
      <c r="K9" s="4" t="s">
        <v>646</v>
      </c>
      <c r="M9" s="4" t="s">
        <v>532</v>
      </c>
      <c r="N9" s="4" t="str">
        <f t="shared" si="7"/>
        <v>Compatible Kenstar AC Remotes</v>
      </c>
      <c r="O9" s="1" t="str">
        <f t="shared" si="8"/>
        <v>Get Any Compatible Kenstar AC Remotes Easily at Your Door-steps</v>
      </c>
      <c r="P9" s="1" t="str">
        <f t="shared" si="9"/>
        <v>Upix® Compatible Kenstar AC Remotes</v>
      </c>
      <c r="Q9" s="1" t="str">
        <f t="shared" si="10"/>
        <v>Get Any Upix® Compatible Kenstar AC Remotes Easily at Your Door-steps</v>
      </c>
      <c r="R9" s="1" t="s">
        <v>643</v>
      </c>
      <c r="S9" s="4" t="str">
        <f t="shared" si="11"/>
        <v>Upix® Compatible Kenstar AC Remotes</v>
      </c>
      <c r="T9" s="1" t="s">
        <v>644</v>
      </c>
    </row>
    <row r="10" spans="1:20" x14ac:dyDescent="0.3">
      <c r="A10" s="4">
        <v>9</v>
      </c>
      <c r="B10" s="4" t="s">
        <v>3</v>
      </c>
      <c r="C10" s="4" t="s">
        <v>11</v>
      </c>
      <c r="D10" s="4" t="str">
        <f t="shared" si="0"/>
        <v>Onida AC</v>
      </c>
      <c r="E10" s="5" t="str">
        <f t="shared" si="1"/>
        <v>Onida AC Remotes</v>
      </c>
      <c r="F10" s="4" t="str">
        <f t="shared" si="2"/>
        <v>Onida AC Remote Control</v>
      </c>
      <c r="G10" s="4" t="str">
        <f t="shared" si="3"/>
        <v>Remote for Onida AC</v>
      </c>
      <c r="H10" s="4" t="str">
        <f t="shared" si="4"/>
        <v>Onida Air Conditioner Remote</v>
      </c>
      <c r="I10" s="4" t="str">
        <f t="shared" si="5"/>
        <v>AC Remote for Onida AC</v>
      </c>
      <c r="J10" s="4" t="str">
        <f t="shared" si="6"/>
        <v>Onida AC Remote Control Not Working</v>
      </c>
      <c r="K10" s="4" t="s">
        <v>646</v>
      </c>
      <c r="L10" s="4" t="s">
        <v>646</v>
      </c>
      <c r="M10" s="4" t="s">
        <v>526</v>
      </c>
      <c r="N10" s="4" t="str">
        <f t="shared" si="7"/>
        <v>Compatible Onida AC Remotes</v>
      </c>
      <c r="O10" s="1" t="str">
        <f t="shared" si="8"/>
        <v>Get Any Compatible Onida AC Remotes Easily at Your Door-steps</v>
      </c>
      <c r="P10" s="1" t="str">
        <f t="shared" si="9"/>
        <v>Upix® Compatible Onida AC Remotes</v>
      </c>
      <c r="Q10" s="1" t="str">
        <f t="shared" si="10"/>
        <v>Get Any Upix® Compatible Onida AC Remotes Easily at Your Door-steps</v>
      </c>
      <c r="R10" s="1" t="s">
        <v>643</v>
      </c>
      <c r="S10" s="4" t="str">
        <f t="shared" si="11"/>
        <v>Upix® Compatible Onida AC Remotes</v>
      </c>
      <c r="T10" s="1" t="s">
        <v>644</v>
      </c>
    </row>
    <row r="11" spans="1:20" x14ac:dyDescent="0.3">
      <c r="A11" s="4">
        <v>10</v>
      </c>
      <c r="B11" s="4" t="s">
        <v>3</v>
      </c>
      <c r="C11" s="4" t="s">
        <v>1349</v>
      </c>
      <c r="D11" s="4" t="str">
        <f t="shared" si="0"/>
        <v>Napoleon AC</v>
      </c>
      <c r="E11" s="5" t="str">
        <f t="shared" si="1"/>
        <v>Napoleon AC Remotes</v>
      </c>
      <c r="F11" s="4" t="str">
        <f t="shared" si="2"/>
        <v>Napoleon AC Remote Control</v>
      </c>
      <c r="G11" s="4" t="str">
        <f t="shared" si="3"/>
        <v>Remote for Napoleon AC</v>
      </c>
      <c r="H11" s="4" t="str">
        <f t="shared" si="4"/>
        <v>Napoleon Air Conditioner Remote</v>
      </c>
      <c r="I11" s="4" t="str">
        <f t="shared" si="5"/>
        <v>AC Remote for Napoleon AC</v>
      </c>
      <c r="J11" s="4" t="str">
        <f t="shared" si="6"/>
        <v>Napoleon AC Remote Control Not Working</v>
      </c>
      <c r="K11" s="4" t="s">
        <v>646</v>
      </c>
      <c r="M11" s="4" t="s">
        <v>533</v>
      </c>
      <c r="N11" s="4" t="str">
        <f t="shared" si="7"/>
        <v>Compatible Napoleon AC Remotes</v>
      </c>
      <c r="O11" s="1" t="str">
        <f t="shared" si="8"/>
        <v>Get Any Compatible Napoleon AC Remotes Easily at Your Door-steps</v>
      </c>
      <c r="P11" s="1" t="str">
        <f t="shared" si="9"/>
        <v>Upix® Compatible Napoleon AC Remotes</v>
      </c>
      <c r="Q11" s="1" t="str">
        <f t="shared" si="10"/>
        <v>Get Any Upix® Compatible Napoleon AC Remotes Easily at Your Door-steps</v>
      </c>
      <c r="R11" s="1" t="s">
        <v>643</v>
      </c>
      <c r="S11" s="4" t="str">
        <f t="shared" si="11"/>
        <v>Upix® Compatible Napoleon AC Remotes</v>
      </c>
      <c r="T11" s="1" t="s">
        <v>644</v>
      </c>
    </row>
    <row r="12" spans="1:20" x14ac:dyDescent="0.3">
      <c r="A12" s="4">
        <v>11</v>
      </c>
      <c r="B12" s="4" t="s">
        <v>3</v>
      </c>
      <c r="C12" s="4" t="s">
        <v>12</v>
      </c>
      <c r="D12" s="4" t="str">
        <f t="shared" si="0"/>
        <v>Carrier AC</v>
      </c>
      <c r="E12" s="5" t="str">
        <f t="shared" si="1"/>
        <v>Carrier AC Remotes</v>
      </c>
      <c r="F12" s="4" t="str">
        <f t="shared" si="2"/>
        <v>Carrier AC Remote Control</v>
      </c>
      <c r="G12" s="4" t="str">
        <f t="shared" si="3"/>
        <v>Remote for Carrier AC</v>
      </c>
      <c r="H12" s="4" t="str">
        <f t="shared" si="4"/>
        <v>Carrier Air Conditioner Remote</v>
      </c>
      <c r="I12" s="4" t="str">
        <f t="shared" si="5"/>
        <v>AC Remote for Carrier AC</v>
      </c>
      <c r="J12" s="4" t="str">
        <f t="shared" si="6"/>
        <v>Carrier AC Remote Control Not Working</v>
      </c>
      <c r="K12" s="4" t="s">
        <v>646</v>
      </c>
      <c r="M12" s="4" t="s">
        <v>520</v>
      </c>
      <c r="N12" s="4" t="str">
        <f t="shared" si="7"/>
        <v>Compatible Carrier AC Remotes</v>
      </c>
      <c r="O12" s="1" t="str">
        <f t="shared" si="8"/>
        <v>Get Any Compatible Carrier AC Remotes Easily at Your Door-steps</v>
      </c>
      <c r="P12" s="1" t="str">
        <f t="shared" si="9"/>
        <v>Upix® Compatible Carrier AC Remotes</v>
      </c>
      <c r="Q12" s="1" t="str">
        <f t="shared" si="10"/>
        <v>Get Any Upix® Compatible Carrier AC Remotes Easily at Your Door-steps</v>
      </c>
      <c r="R12" s="1" t="s">
        <v>643</v>
      </c>
      <c r="S12" s="4" t="str">
        <f t="shared" si="11"/>
        <v>Upix® Compatible Carrier AC Remotes</v>
      </c>
      <c r="T12" s="1" t="s">
        <v>644</v>
      </c>
    </row>
    <row r="13" spans="1:20" x14ac:dyDescent="0.3">
      <c r="A13" s="4">
        <v>12</v>
      </c>
      <c r="B13" s="4" t="s">
        <v>3</v>
      </c>
      <c r="C13" s="4" t="s">
        <v>13</v>
      </c>
      <c r="D13" s="4" t="str">
        <f t="shared" si="0"/>
        <v>Koryo AC</v>
      </c>
      <c r="E13" s="5" t="str">
        <f t="shared" si="1"/>
        <v>Koryo AC Remotes</v>
      </c>
      <c r="F13" s="4" t="str">
        <f t="shared" si="2"/>
        <v>Koryo AC Remote Control</v>
      </c>
      <c r="G13" s="4" t="str">
        <f t="shared" si="3"/>
        <v>Remote for Koryo AC</v>
      </c>
      <c r="H13" s="4" t="str">
        <f t="shared" si="4"/>
        <v>Koryo Air Conditioner Remote</v>
      </c>
      <c r="I13" s="4" t="str">
        <f t="shared" si="5"/>
        <v>AC Remote for Koryo AC</v>
      </c>
      <c r="J13" s="4" t="str">
        <f t="shared" si="6"/>
        <v>Koryo AC Remote Control Not Working</v>
      </c>
      <c r="K13" s="4" t="s">
        <v>646</v>
      </c>
      <c r="M13" s="4" t="s">
        <v>534</v>
      </c>
      <c r="N13" s="4" t="str">
        <f t="shared" si="7"/>
        <v>Compatible Koryo AC Remotes</v>
      </c>
      <c r="O13" s="1" t="str">
        <f t="shared" si="8"/>
        <v>Get Any Compatible Koryo AC Remotes Easily at Your Door-steps</v>
      </c>
      <c r="P13" s="1" t="str">
        <f t="shared" si="9"/>
        <v>Upix® Compatible Koryo AC Remotes</v>
      </c>
      <c r="Q13" s="1" t="str">
        <f t="shared" si="10"/>
        <v>Get Any Upix® Compatible Koryo AC Remotes Easily at Your Door-steps</v>
      </c>
      <c r="R13" s="1" t="s">
        <v>643</v>
      </c>
      <c r="S13" s="4" t="str">
        <f t="shared" si="11"/>
        <v>Upix® Compatible Koryo AC Remotes</v>
      </c>
      <c r="T13" s="1" t="s">
        <v>644</v>
      </c>
    </row>
    <row r="14" spans="1:20" x14ac:dyDescent="0.3">
      <c r="A14" s="4">
        <v>13</v>
      </c>
      <c r="B14" s="4" t="s">
        <v>3</v>
      </c>
      <c r="C14" s="4" t="s">
        <v>14</v>
      </c>
      <c r="D14" s="4" t="str">
        <f t="shared" si="0"/>
        <v>Hyundai AC</v>
      </c>
      <c r="E14" s="5" t="str">
        <f t="shared" si="1"/>
        <v>Hyundai AC Remotes</v>
      </c>
      <c r="F14" s="4" t="str">
        <f t="shared" si="2"/>
        <v>Hyundai AC Remote Control</v>
      </c>
      <c r="G14" s="4" t="str">
        <f t="shared" si="3"/>
        <v>Remote for Hyundai AC</v>
      </c>
      <c r="H14" s="4" t="str">
        <f t="shared" si="4"/>
        <v>Hyundai Air Conditioner Remote</v>
      </c>
      <c r="I14" s="4" t="str">
        <f t="shared" si="5"/>
        <v>AC Remote for Hyundai AC</v>
      </c>
      <c r="J14" s="4" t="str">
        <f t="shared" si="6"/>
        <v>Hyundai AC Remote Control Not Working</v>
      </c>
      <c r="K14" s="4" t="s">
        <v>646</v>
      </c>
      <c r="M14" s="4" t="s">
        <v>535</v>
      </c>
      <c r="N14" s="4" t="str">
        <f t="shared" si="7"/>
        <v>Compatible Hyundai AC Remotes</v>
      </c>
      <c r="O14" s="1" t="str">
        <f t="shared" si="8"/>
        <v>Get Any Compatible Hyundai AC Remotes Easily at Your Door-steps</v>
      </c>
      <c r="P14" s="1" t="str">
        <f t="shared" si="9"/>
        <v>Upix® Compatible Hyundai AC Remotes</v>
      </c>
      <c r="Q14" s="1" t="str">
        <f t="shared" si="10"/>
        <v>Get Any Upix® Compatible Hyundai AC Remotes Easily at Your Door-steps</v>
      </c>
      <c r="R14" s="1" t="s">
        <v>643</v>
      </c>
      <c r="S14" s="4" t="str">
        <f t="shared" si="11"/>
        <v>Upix® Compatible Hyundai AC Remotes</v>
      </c>
      <c r="T14" s="1" t="s">
        <v>644</v>
      </c>
    </row>
    <row r="15" spans="1:20" x14ac:dyDescent="0.3">
      <c r="A15" s="4">
        <v>14</v>
      </c>
      <c r="B15" s="4" t="s">
        <v>3</v>
      </c>
      <c r="C15" s="4" t="s">
        <v>15</v>
      </c>
      <c r="D15" s="4" t="str">
        <f t="shared" si="0"/>
        <v>Totalline AC</v>
      </c>
      <c r="E15" s="5" t="str">
        <f t="shared" si="1"/>
        <v>Totalline AC Remotes</v>
      </c>
      <c r="F15" s="4" t="str">
        <f t="shared" si="2"/>
        <v>Totalline AC Remote Control</v>
      </c>
      <c r="G15" s="4" t="str">
        <f t="shared" si="3"/>
        <v>Remote for Totalline AC</v>
      </c>
      <c r="H15" s="4" t="str">
        <f t="shared" si="4"/>
        <v>Totalline Air Conditioner Remote</v>
      </c>
      <c r="I15" s="4" t="str">
        <f t="shared" si="5"/>
        <v>AC Remote for Totalline AC</v>
      </c>
      <c r="J15" s="4" t="str">
        <f t="shared" si="6"/>
        <v>Totalline AC Remote Control Not Working</v>
      </c>
      <c r="K15" s="4" t="s">
        <v>646</v>
      </c>
      <c r="M15" s="4" t="s">
        <v>536</v>
      </c>
      <c r="N15" s="4" t="str">
        <f t="shared" si="7"/>
        <v>Compatible Totalline AC Remotes</v>
      </c>
      <c r="O15" s="1" t="str">
        <f t="shared" si="8"/>
        <v>Get Any Compatible Totalline AC Remotes Easily at Your Door-steps</v>
      </c>
      <c r="P15" s="1" t="str">
        <f t="shared" si="9"/>
        <v>Upix® Compatible Totalline AC Remotes</v>
      </c>
      <c r="Q15" s="1" t="str">
        <f t="shared" si="10"/>
        <v>Get Any Upix® Compatible Totalline AC Remotes Easily at Your Door-steps</v>
      </c>
      <c r="R15" s="1" t="s">
        <v>643</v>
      </c>
      <c r="S15" s="4" t="str">
        <f t="shared" si="11"/>
        <v>Upix® Compatible Totalline AC Remotes</v>
      </c>
      <c r="T15" s="1" t="s">
        <v>644</v>
      </c>
    </row>
    <row r="16" spans="1:20" x14ac:dyDescent="0.3">
      <c r="A16" s="4">
        <v>15</v>
      </c>
      <c r="B16" s="4" t="s">
        <v>3</v>
      </c>
      <c r="C16" s="4" t="s">
        <v>422</v>
      </c>
      <c r="D16" s="4" t="str">
        <f t="shared" si="0"/>
        <v>Hisense AC</v>
      </c>
      <c r="E16" s="5" t="str">
        <f t="shared" si="1"/>
        <v>Hisense AC Remotes</v>
      </c>
      <c r="F16" s="4" t="str">
        <f t="shared" si="2"/>
        <v>Hisense AC Remote Control</v>
      </c>
      <c r="G16" s="4" t="str">
        <f t="shared" si="3"/>
        <v>Remote for Hisense AC</v>
      </c>
      <c r="H16" s="4" t="str">
        <f t="shared" si="4"/>
        <v>Hisense Air Conditioner Remote</v>
      </c>
      <c r="I16" s="4" t="str">
        <f t="shared" si="5"/>
        <v>AC Remote for Hisense AC</v>
      </c>
      <c r="J16" s="4" t="str">
        <f t="shared" si="6"/>
        <v>Hisense AC Remote Control Not Working</v>
      </c>
      <c r="K16" s="4" t="s">
        <v>646</v>
      </c>
      <c r="M16" s="4" t="s">
        <v>537</v>
      </c>
      <c r="N16" s="4" t="str">
        <f t="shared" si="7"/>
        <v>Compatible Hisense AC Remotes</v>
      </c>
      <c r="O16" s="1" t="str">
        <f t="shared" si="8"/>
        <v>Get Any Compatible Hisense AC Remotes Easily at Your Door-steps</v>
      </c>
      <c r="P16" s="1" t="str">
        <f t="shared" si="9"/>
        <v>Upix® Compatible Hisense AC Remotes</v>
      </c>
      <c r="Q16" s="1" t="str">
        <f t="shared" si="10"/>
        <v>Get Any Upix® Compatible Hisense AC Remotes Easily at Your Door-steps</v>
      </c>
      <c r="R16" s="1" t="s">
        <v>643</v>
      </c>
      <c r="S16" s="4" t="str">
        <f t="shared" si="11"/>
        <v>Upix® Compatible Hisense AC Remotes</v>
      </c>
      <c r="T16" s="1" t="s">
        <v>644</v>
      </c>
    </row>
    <row r="17" spans="1:20" x14ac:dyDescent="0.3">
      <c r="A17" s="4">
        <v>16</v>
      </c>
      <c r="B17" s="4" t="s">
        <v>3</v>
      </c>
      <c r="C17" s="4" t="s">
        <v>426</v>
      </c>
      <c r="D17" s="4" t="str">
        <f t="shared" si="0"/>
        <v>Microcool AC</v>
      </c>
      <c r="E17" s="5" t="str">
        <f t="shared" si="1"/>
        <v>Microcool AC Remotes</v>
      </c>
      <c r="F17" s="4" t="str">
        <f t="shared" si="2"/>
        <v>Microcool AC Remote Control</v>
      </c>
      <c r="G17" s="4" t="str">
        <f t="shared" si="3"/>
        <v>Remote for Microcool AC</v>
      </c>
      <c r="H17" s="4" t="str">
        <f t="shared" si="4"/>
        <v>Microcool Air Conditioner Remote</v>
      </c>
      <c r="I17" s="4" t="str">
        <f t="shared" si="5"/>
        <v>AC Remote for Microcool AC</v>
      </c>
      <c r="J17" s="4" t="str">
        <f t="shared" si="6"/>
        <v>Microcool AC Remote Control Not Working</v>
      </c>
      <c r="K17" s="4" t="s">
        <v>646</v>
      </c>
      <c r="M17" s="4" t="s">
        <v>523</v>
      </c>
      <c r="N17" s="4" t="str">
        <f t="shared" si="7"/>
        <v>Compatible Microcool AC Remotes</v>
      </c>
      <c r="O17" s="1" t="str">
        <f t="shared" si="8"/>
        <v>Get Any Compatible Microcool AC Remotes Easily at Your Door-steps</v>
      </c>
      <c r="P17" s="1" t="str">
        <f t="shared" si="9"/>
        <v>Upix® Compatible Microcool AC Remotes</v>
      </c>
      <c r="Q17" s="1" t="str">
        <f t="shared" si="10"/>
        <v>Get Any Upix® Compatible Microcool AC Remotes Easily at Your Door-steps</v>
      </c>
      <c r="R17" s="1" t="s">
        <v>643</v>
      </c>
      <c r="S17" s="4" t="str">
        <f t="shared" si="11"/>
        <v>Upix® Compatible Microcool AC Remotes</v>
      </c>
      <c r="T17" s="1" t="s">
        <v>644</v>
      </c>
    </row>
    <row r="18" spans="1:20" x14ac:dyDescent="0.3">
      <c r="A18" s="4">
        <v>17</v>
      </c>
      <c r="B18" s="4" t="s">
        <v>3</v>
      </c>
      <c r="C18" s="4" t="s">
        <v>16</v>
      </c>
      <c r="D18" s="4" t="str">
        <f t="shared" si="0"/>
        <v>Sansui AC</v>
      </c>
      <c r="E18" s="5" t="str">
        <f t="shared" si="1"/>
        <v>Sansui AC Remotes</v>
      </c>
      <c r="F18" s="4" t="str">
        <f t="shared" si="2"/>
        <v>Sansui AC Remote Control</v>
      </c>
      <c r="G18" s="4" t="str">
        <f t="shared" si="3"/>
        <v>Remote for Sansui AC</v>
      </c>
      <c r="H18" s="4" t="str">
        <f t="shared" si="4"/>
        <v>Sansui Air Conditioner Remote</v>
      </c>
      <c r="I18" s="4" t="str">
        <f t="shared" si="5"/>
        <v>AC Remote for Sansui AC</v>
      </c>
      <c r="J18" s="4" t="str">
        <f t="shared" si="6"/>
        <v>Sansui AC Remote Control Not Working</v>
      </c>
      <c r="K18" s="4" t="s">
        <v>646</v>
      </c>
      <c r="M18" s="4" t="s">
        <v>538</v>
      </c>
      <c r="N18" s="4" t="str">
        <f t="shared" si="7"/>
        <v>Compatible Sansui AC Remotes</v>
      </c>
      <c r="O18" s="1" t="str">
        <f t="shared" si="8"/>
        <v>Get Any Compatible Sansui AC Remotes Easily at Your Door-steps</v>
      </c>
      <c r="P18" s="1" t="str">
        <f t="shared" si="9"/>
        <v>Upix® Compatible Sansui AC Remotes</v>
      </c>
      <c r="Q18" s="1" t="str">
        <f t="shared" si="10"/>
        <v>Get Any Upix® Compatible Sansui AC Remotes Easily at Your Door-steps</v>
      </c>
      <c r="R18" s="1" t="s">
        <v>643</v>
      </c>
      <c r="S18" s="4" t="str">
        <f t="shared" si="11"/>
        <v>Upix® Compatible Sansui AC Remotes</v>
      </c>
      <c r="T18" s="1" t="s">
        <v>644</v>
      </c>
    </row>
    <row r="19" spans="1:20" x14ac:dyDescent="0.3">
      <c r="A19" s="4">
        <v>18</v>
      </c>
      <c r="B19" s="4" t="s">
        <v>3</v>
      </c>
      <c r="C19" s="4" t="s">
        <v>17</v>
      </c>
      <c r="D19" s="4" t="str">
        <f t="shared" si="0"/>
        <v>Aux AC</v>
      </c>
      <c r="E19" s="5" t="str">
        <f t="shared" si="1"/>
        <v>Aux AC Remotes</v>
      </c>
      <c r="F19" s="4" t="str">
        <f t="shared" si="2"/>
        <v>Aux AC Remote Control</v>
      </c>
      <c r="G19" s="4" t="str">
        <f t="shared" si="3"/>
        <v>Remote for Aux AC</v>
      </c>
      <c r="H19" s="4" t="str">
        <f t="shared" si="4"/>
        <v>Aux Air Conditioner Remote</v>
      </c>
      <c r="I19" s="4" t="str">
        <f t="shared" si="5"/>
        <v>AC Remote for Aux AC</v>
      </c>
      <c r="J19" s="4" t="str">
        <f t="shared" si="6"/>
        <v>Aux AC Remote Control Not Working</v>
      </c>
      <c r="K19" s="4" t="s">
        <v>646</v>
      </c>
      <c r="M19" s="4" t="s">
        <v>539</v>
      </c>
      <c r="N19" s="4" t="str">
        <f t="shared" si="7"/>
        <v>Compatible Aux AC Remotes</v>
      </c>
      <c r="O19" s="1" t="str">
        <f t="shared" si="8"/>
        <v>Get Any Compatible Aux AC Remotes Easily at Your Door-steps</v>
      </c>
      <c r="P19" s="1" t="str">
        <f t="shared" si="9"/>
        <v>Upix® Compatible Aux AC Remotes</v>
      </c>
      <c r="Q19" s="1" t="str">
        <f t="shared" si="10"/>
        <v>Get Any Upix® Compatible Aux AC Remotes Easily at Your Door-steps</v>
      </c>
      <c r="R19" s="1" t="s">
        <v>643</v>
      </c>
      <c r="S19" s="4" t="str">
        <f t="shared" si="11"/>
        <v>Upix® Compatible Aux AC Remotes</v>
      </c>
      <c r="T19" s="1" t="s">
        <v>644</v>
      </c>
    </row>
    <row r="20" spans="1:20" x14ac:dyDescent="0.3">
      <c r="A20" s="4">
        <v>19</v>
      </c>
      <c r="B20" s="4" t="s">
        <v>3</v>
      </c>
      <c r="C20" s="4" t="s">
        <v>18</v>
      </c>
      <c r="D20" s="4" t="str">
        <f t="shared" si="0"/>
        <v>Azure AC</v>
      </c>
      <c r="E20" s="5" t="str">
        <f>D20&amp;" Remotes"</f>
        <v>Azure AC Remotes</v>
      </c>
      <c r="F20" s="4" t="str">
        <f t="shared" si="2"/>
        <v>Azure AC Remote Control</v>
      </c>
      <c r="G20" s="4" t="str">
        <f t="shared" si="3"/>
        <v>Remote for Azure AC</v>
      </c>
      <c r="H20" s="4" t="str">
        <f t="shared" si="4"/>
        <v>Azure Air Conditioner Remote</v>
      </c>
      <c r="I20" s="4" t="str">
        <f t="shared" si="5"/>
        <v>AC Remote for Azure AC</v>
      </c>
      <c r="J20" s="4" t="str">
        <f t="shared" si="6"/>
        <v>Azure AC Remote Control Not Working</v>
      </c>
      <c r="K20" s="4" t="s">
        <v>646</v>
      </c>
      <c r="M20" s="4" t="s">
        <v>540</v>
      </c>
      <c r="N20" s="4" t="str">
        <f t="shared" si="7"/>
        <v>Compatible Azure AC Remotes</v>
      </c>
      <c r="O20" s="1" t="str">
        <f t="shared" si="8"/>
        <v>Get Any Compatible Azure AC Remotes Easily at Your Door-steps</v>
      </c>
      <c r="P20" s="1" t="str">
        <f t="shared" si="9"/>
        <v>Upix® Compatible Azure AC Remotes</v>
      </c>
      <c r="Q20" s="1" t="str">
        <f t="shared" si="10"/>
        <v>Get Any Upix® Compatible Azure AC Remotes Easily at Your Door-steps</v>
      </c>
      <c r="R20" s="1" t="s">
        <v>643</v>
      </c>
      <c r="S20" s="4" t="str">
        <f t="shared" si="11"/>
        <v>Upix® Compatible Azure AC Remotes</v>
      </c>
      <c r="T20" s="1" t="s">
        <v>644</v>
      </c>
    </row>
    <row r="21" spans="1:20" x14ac:dyDescent="0.3">
      <c r="A21" s="4">
        <v>20</v>
      </c>
      <c r="B21" s="4" t="s">
        <v>3</v>
      </c>
      <c r="C21" s="4" t="s">
        <v>19</v>
      </c>
      <c r="D21" s="4" t="str">
        <f t="shared" si="0"/>
        <v>Bluestar AC</v>
      </c>
      <c r="E21" s="5" t="str">
        <f t="shared" si="1"/>
        <v>Bluestar AC Remotes</v>
      </c>
      <c r="F21" s="4" t="str">
        <f t="shared" si="2"/>
        <v>Bluestar AC Remote Control</v>
      </c>
      <c r="G21" s="4" t="str">
        <f t="shared" si="3"/>
        <v>Remote for Bluestar AC</v>
      </c>
      <c r="H21" s="4" t="str">
        <f t="shared" si="4"/>
        <v>Bluestar Air Conditioner Remote</v>
      </c>
      <c r="I21" s="4" t="str">
        <f t="shared" si="5"/>
        <v>AC Remote for Bluestar AC</v>
      </c>
      <c r="J21" s="4" t="str">
        <f t="shared" si="6"/>
        <v>Bluestar AC Remote Control Not Working</v>
      </c>
      <c r="K21" s="4" t="s">
        <v>646</v>
      </c>
      <c r="L21" s="4" t="s">
        <v>646</v>
      </c>
      <c r="M21" s="4" t="s">
        <v>541</v>
      </c>
      <c r="N21" s="4" t="str">
        <f t="shared" si="7"/>
        <v>Compatible Bluestar AC Remotes</v>
      </c>
      <c r="O21" s="1" t="str">
        <f t="shared" si="8"/>
        <v>Get Any Compatible Bluestar AC Remotes Easily at Your Door-steps</v>
      </c>
      <c r="P21" s="1" t="str">
        <f t="shared" si="9"/>
        <v>Upix® Compatible Bluestar AC Remotes</v>
      </c>
      <c r="Q21" s="1" t="str">
        <f t="shared" si="10"/>
        <v>Get Any Upix® Compatible Bluestar AC Remotes Easily at Your Door-steps</v>
      </c>
      <c r="R21" s="1" t="s">
        <v>643</v>
      </c>
      <c r="S21" s="5" t="str">
        <f t="shared" si="11"/>
        <v>Upix® Compatible Bluestar AC Remotes</v>
      </c>
      <c r="T21" s="1" t="s">
        <v>644</v>
      </c>
    </row>
    <row r="22" spans="1:20" x14ac:dyDescent="0.3">
      <c r="A22" s="4">
        <v>21</v>
      </c>
      <c r="B22" s="4" t="s">
        <v>3</v>
      </c>
      <c r="C22" s="4" t="s">
        <v>20</v>
      </c>
      <c r="D22" s="4" t="str">
        <f t="shared" si="0"/>
        <v>Daikin AC</v>
      </c>
      <c r="E22" s="5" t="str">
        <f t="shared" si="1"/>
        <v>Daikin AC Remotes</v>
      </c>
      <c r="F22" s="4" t="str">
        <f t="shared" si="2"/>
        <v>Daikin AC Remote Control</v>
      </c>
      <c r="G22" s="4" t="str">
        <f t="shared" si="3"/>
        <v>Remote for Daikin AC</v>
      </c>
      <c r="H22" s="4" t="str">
        <f t="shared" si="4"/>
        <v>Daikin Air Conditioner Remote</v>
      </c>
      <c r="I22" s="4" t="str">
        <f t="shared" si="5"/>
        <v>AC Remote for Daikin AC</v>
      </c>
      <c r="J22" s="4" t="str">
        <f t="shared" si="6"/>
        <v>Daikin AC Remote Control Not Working</v>
      </c>
      <c r="K22" s="4" t="s">
        <v>646</v>
      </c>
      <c r="M22" s="4" t="s">
        <v>519</v>
      </c>
      <c r="N22" s="4" t="str">
        <f t="shared" si="7"/>
        <v>Compatible Daikin AC Remotes</v>
      </c>
      <c r="O22" s="1" t="str">
        <f t="shared" si="8"/>
        <v>Get Any Compatible Daikin AC Remotes Easily at Your Door-steps</v>
      </c>
      <c r="P22" s="1" t="str">
        <f t="shared" si="9"/>
        <v>Upix® Compatible Daikin AC Remotes</v>
      </c>
      <c r="Q22" s="1" t="str">
        <f t="shared" si="10"/>
        <v>Get Any Upix® Compatible Daikin AC Remotes Easily at Your Door-steps</v>
      </c>
      <c r="R22" s="1" t="s">
        <v>643</v>
      </c>
      <c r="S22" s="4" t="str">
        <f t="shared" si="11"/>
        <v>Upix® Compatible Daikin AC Remotes</v>
      </c>
      <c r="T22" s="1" t="s">
        <v>644</v>
      </c>
    </row>
    <row r="23" spans="1:20" x14ac:dyDescent="0.3">
      <c r="A23" s="4">
        <v>22</v>
      </c>
      <c r="B23" s="4" t="s">
        <v>3</v>
      </c>
      <c r="C23" s="4" t="s">
        <v>21</v>
      </c>
      <c r="D23" s="4" t="str">
        <f t="shared" si="0"/>
        <v>Electrolux AC</v>
      </c>
      <c r="E23" s="5" t="str">
        <f t="shared" si="1"/>
        <v>Electrolux AC Remotes</v>
      </c>
      <c r="F23" s="4" t="str">
        <f t="shared" si="2"/>
        <v>Electrolux AC Remote Control</v>
      </c>
      <c r="G23" s="4" t="str">
        <f t="shared" si="3"/>
        <v>Remote for Electrolux AC</v>
      </c>
      <c r="H23" s="4" t="str">
        <f t="shared" si="4"/>
        <v>Electrolux Air Conditioner Remote</v>
      </c>
      <c r="I23" s="4" t="str">
        <f t="shared" si="5"/>
        <v>AC Remote for Electrolux AC</v>
      </c>
      <c r="J23" s="4" t="str">
        <f t="shared" si="6"/>
        <v>Electrolux AC Remote Control Not Working</v>
      </c>
      <c r="K23" s="4" t="s">
        <v>646</v>
      </c>
      <c r="M23" s="4" t="s">
        <v>527</v>
      </c>
      <c r="N23" s="4" t="str">
        <f t="shared" si="7"/>
        <v>Compatible Electrolux AC Remotes</v>
      </c>
      <c r="O23" s="1" t="str">
        <f t="shared" si="8"/>
        <v>Get Any Compatible Electrolux AC Remotes Easily at Your Door-steps</v>
      </c>
      <c r="P23" s="1" t="str">
        <f t="shared" si="9"/>
        <v>Upix® Compatible Electrolux AC Remotes</v>
      </c>
      <c r="Q23" s="1" t="str">
        <f t="shared" si="10"/>
        <v>Get Any Upix® Compatible Electrolux AC Remotes Easily at Your Door-steps</v>
      </c>
      <c r="R23" s="1" t="s">
        <v>643</v>
      </c>
      <c r="S23" s="4" t="str">
        <f t="shared" si="11"/>
        <v>Upix® Compatible Electrolux AC Remotes</v>
      </c>
      <c r="T23" s="1" t="s">
        <v>644</v>
      </c>
    </row>
    <row r="24" spans="1:20" x14ac:dyDescent="0.3">
      <c r="A24" s="4">
        <v>23</v>
      </c>
      <c r="B24" s="4" t="s">
        <v>3</v>
      </c>
      <c r="C24" s="4" t="s">
        <v>22</v>
      </c>
      <c r="D24" s="4" t="str">
        <f t="shared" si="0"/>
        <v>Haier AC</v>
      </c>
      <c r="E24" s="5" t="str">
        <f t="shared" si="1"/>
        <v>Haier AC Remotes</v>
      </c>
      <c r="F24" s="4" t="str">
        <f t="shared" si="2"/>
        <v>Haier AC Remote Control</v>
      </c>
      <c r="G24" s="4" t="str">
        <f t="shared" si="3"/>
        <v>Remote for Haier AC</v>
      </c>
      <c r="H24" s="4" t="str">
        <f t="shared" si="4"/>
        <v>Haier Air Conditioner Remote</v>
      </c>
      <c r="I24" s="4" t="str">
        <f t="shared" si="5"/>
        <v>AC Remote for Haier AC</v>
      </c>
      <c r="J24" s="4" t="str">
        <f t="shared" si="6"/>
        <v>Haier AC Remote Control Not Working</v>
      </c>
      <c r="K24" s="4" t="s">
        <v>646</v>
      </c>
      <c r="M24" s="4" t="s">
        <v>542</v>
      </c>
      <c r="N24" s="4" t="str">
        <f t="shared" si="7"/>
        <v>Compatible Haier AC Remotes</v>
      </c>
      <c r="O24" s="1" t="str">
        <f t="shared" si="8"/>
        <v>Get Any Compatible Haier AC Remotes Easily at Your Door-steps</v>
      </c>
      <c r="P24" s="1" t="str">
        <f t="shared" si="9"/>
        <v>Upix® Compatible Haier AC Remotes</v>
      </c>
      <c r="Q24" s="1" t="str">
        <f t="shared" si="10"/>
        <v>Get Any Upix® Compatible Haier AC Remotes Easily at Your Door-steps</v>
      </c>
      <c r="R24" s="1" t="s">
        <v>643</v>
      </c>
      <c r="S24" s="4" t="str">
        <f t="shared" si="11"/>
        <v>Upix® Compatible Haier AC Remotes</v>
      </c>
      <c r="T24" s="1" t="s">
        <v>644</v>
      </c>
    </row>
    <row r="25" spans="1:20" x14ac:dyDescent="0.3">
      <c r="A25" s="4">
        <v>24</v>
      </c>
      <c r="B25" s="4" t="s">
        <v>3</v>
      </c>
      <c r="C25" s="4" t="s">
        <v>23</v>
      </c>
      <c r="D25" s="4" t="str">
        <f t="shared" si="0"/>
        <v>Hitachi AC</v>
      </c>
      <c r="E25" s="5" t="str">
        <f t="shared" si="1"/>
        <v>Hitachi AC Remotes</v>
      </c>
      <c r="F25" s="4" t="str">
        <f t="shared" si="2"/>
        <v>Hitachi AC Remote Control</v>
      </c>
      <c r="G25" s="4" t="str">
        <f t="shared" si="3"/>
        <v>Remote for Hitachi AC</v>
      </c>
      <c r="H25" s="4" t="str">
        <f t="shared" si="4"/>
        <v>Hitachi Air Conditioner Remote</v>
      </c>
      <c r="I25" s="4" t="str">
        <f t="shared" si="5"/>
        <v>AC Remote for Hitachi AC</v>
      </c>
      <c r="J25" s="4" t="str">
        <f t="shared" si="6"/>
        <v>Hitachi AC Remote Control Not Working</v>
      </c>
      <c r="K25" s="4" t="s">
        <v>646</v>
      </c>
      <c r="M25" s="4" t="s">
        <v>543</v>
      </c>
      <c r="N25" s="4" t="str">
        <f t="shared" si="7"/>
        <v>Compatible Hitachi AC Remotes</v>
      </c>
      <c r="O25" s="1" t="str">
        <f t="shared" si="8"/>
        <v>Get Any Compatible Hitachi AC Remotes Easily at Your Door-steps</v>
      </c>
      <c r="P25" s="1" t="str">
        <f t="shared" si="9"/>
        <v>Upix® Compatible Hitachi AC Remotes</v>
      </c>
      <c r="Q25" s="1" t="str">
        <f t="shared" si="10"/>
        <v>Get Any Upix® Compatible Hitachi AC Remotes Easily at Your Door-steps</v>
      </c>
      <c r="R25" s="1" t="s">
        <v>643</v>
      </c>
      <c r="S25" s="5" t="str">
        <f t="shared" si="11"/>
        <v>Upix® Compatible Hitachi AC Remotes</v>
      </c>
      <c r="T25" s="1" t="s">
        <v>644</v>
      </c>
    </row>
    <row r="26" spans="1:20" x14ac:dyDescent="0.3">
      <c r="A26" s="4">
        <v>25</v>
      </c>
      <c r="B26" s="4" t="s">
        <v>3</v>
      </c>
      <c r="C26" s="4" t="s">
        <v>24</v>
      </c>
      <c r="D26" s="4" t="str">
        <f t="shared" si="0"/>
        <v>IFB AC</v>
      </c>
      <c r="E26" s="5" t="str">
        <f t="shared" si="1"/>
        <v>IFB AC Remotes</v>
      </c>
      <c r="F26" s="4" t="str">
        <f t="shared" si="2"/>
        <v>IFB AC Remote Control</v>
      </c>
      <c r="G26" s="4" t="str">
        <f t="shared" si="3"/>
        <v>Remote for IFB AC</v>
      </c>
      <c r="H26" s="4" t="str">
        <f t="shared" si="4"/>
        <v>IFB Air Conditioner Remote</v>
      </c>
      <c r="I26" s="4" t="str">
        <f t="shared" si="5"/>
        <v>AC Remote for IFB AC</v>
      </c>
      <c r="J26" s="4" t="str">
        <f t="shared" si="6"/>
        <v>IFB AC Remote Control Not Working</v>
      </c>
      <c r="K26" s="4" t="s">
        <v>646</v>
      </c>
      <c r="M26" s="4" t="s">
        <v>544</v>
      </c>
      <c r="N26" s="4" t="str">
        <f t="shared" si="7"/>
        <v>Compatible IFB AC Remotes</v>
      </c>
      <c r="O26" s="1" t="str">
        <f t="shared" si="8"/>
        <v>Get Any Compatible IFB AC Remotes Easily at Your Door-steps</v>
      </c>
      <c r="P26" s="1" t="str">
        <f t="shared" si="9"/>
        <v>Upix® Compatible IFB AC Remotes</v>
      </c>
      <c r="Q26" s="1" t="str">
        <f t="shared" si="10"/>
        <v>Get Any Upix® Compatible IFB AC Remotes Easily at Your Door-steps</v>
      </c>
      <c r="R26" s="1" t="s">
        <v>643</v>
      </c>
      <c r="S26" s="4" t="str">
        <f t="shared" si="11"/>
        <v>Upix® Compatible IFB AC Remotes</v>
      </c>
      <c r="T26" s="1" t="s">
        <v>644</v>
      </c>
    </row>
    <row r="27" spans="1:20" x14ac:dyDescent="0.3">
      <c r="A27" s="4">
        <v>26</v>
      </c>
      <c r="B27" s="4" t="s">
        <v>3</v>
      </c>
      <c r="C27" s="4" t="s">
        <v>25</v>
      </c>
      <c r="D27" s="4" t="str">
        <f t="shared" si="0"/>
        <v>LG AC</v>
      </c>
      <c r="E27" s="5" t="str">
        <f t="shared" si="1"/>
        <v>LG AC Remotes</v>
      </c>
      <c r="F27" s="4" t="str">
        <f t="shared" si="2"/>
        <v>LG AC Remote Control</v>
      </c>
      <c r="G27" s="4" t="str">
        <f t="shared" si="3"/>
        <v>Remote for LG AC</v>
      </c>
      <c r="H27" s="4" t="str">
        <f t="shared" si="4"/>
        <v>LG Air Conditioner Remote</v>
      </c>
      <c r="I27" s="4" t="str">
        <f t="shared" si="5"/>
        <v>AC Remote for LG AC</v>
      </c>
      <c r="J27" s="4" t="str">
        <f t="shared" si="6"/>
        <v>LG AC Remote Control Not Working</v>
      </c>
      <c r="K27" s="4" t="s">
        <v>646</v>
      </c>
      <c r="M27" s="4" t="s">
        <v>528</v>
      </c>
      <c r="N27" s="4" t="str">
        <f t="shared" si="7"/>
        <v>Compatible LG AC Remotes</v>
      </c>
      <c r="O27" s="1" t="str">
        <f t="shared" si="8"/>
        <v>Get Any Compatible LG AC Remotes Easily at Your Door-steps</v>
      </c>
      <c r="P27" s="1" t="str">
        <f t="shared" si="9"/>
        <v>Upix® Compatible LG AC Remotes</v>
      </c>
      <c r="Q27" s="1" t="str">
        <f t="shared" si="10"/>
        <v>Get Any Upix® Compatible LG AC Remotes Easily at Your Door-steps</v>
      </c>
      <c r="R27" s="1" t="s">
        <v>643</v>
      </c>
      <c r="S27" s="4" t="str">
        <f t="shared" si="11"/>
        <v>Upix® Compatible LG AC Remotes</v>
      </c>
      <c r="T27" s="1" t="s">
        <v>644</v>
      </c>
    </row>
    <row r="28" spans="1:20" x14ac:dyDescent="0.3">
      <c r="A28" s="4">
        <v>27</v>
      </c>
      <c r="B28" s="4" t="s">
        <v>3</v>
      </c>
      <c r="C28" s="4" t="s">
        <v>26</v>
      </c>
      <c r="D28" s="4" t="str">
        <f t="shared" si="0"/>
        <v>Midea AC</v>
      </c>
      <c r="E28" s="5" t="str">
        <f t="shared" si="1"/>
        <v>Midea AC Remotes</v>
      </c>
      <c r="F28" s="4" t="str">
        <f t="shared" si="2"/>
        <v>Midea AC Remote Control</v>
      </c>
      <c r="G28" s="4" t="str">
        <f t="shared" si="3"/>
        <v>Remote for Midea AC</v>
      </c>
      <c r="H28" s="4" t="str">
        <f t="shared" si="4"/>
        <v>Midea Air Conditioner Remote</v>
      </c>
      <c r="I28" s="4" t="str">
        <f t="shared" si="5"/>
        <v>AC Remote for Midea AC</v>
      </c>
      <c r="J28" s="4" t="str">
        <f t="shared" si="6"/>
        <v>Midea AC Remote Control Not Working</v>
      </c>
      <c r="K28" s="4" t="s">
        <v>646</v>
      </c>
      <c r="M28" s="4" t="s">
        <v>545</v>
      </c>
      <c r="N28" s="4" t="str">
        <f t="shared" si="7"/>
        <v>Compatible Midea AC Remotes</v>
      </c>
      <c r="O28" s="1" t="str">
        <f t="shared" si="8"/>
        <v>Get Any Compatible Midea AC Remotes Easily at Your Door-steps</v>
      </c>
      <c r="P28" s="1" t="str">
        <f t="shared" si="9"/>
        <v>Upix® Compatible Midea AC Remotes</v>
      </c>
      <c r="Q28" s="1" t="str">
        <f t="shared" si="10"/>
        <v>Get Any Upix® Compatible Midea AC Remotes Easily at Your Door-steps</v>
      </c>
      <c r="R28" s="1" t="s">
        <v>643</v>
      </c>
      <c r="S28" s="4" t="str">
        <f t="shared" si="11"/>
        <v>Upix® Compatible Midea AC Remotes</v>
      </c>
      <c r="T28" s="1" t="s">
        <v>644</v>
      </c>
    </row>
    <row r="29" spans="1:20" x14ac:dyDescent="0.3">
      <c r="A29" s="4">
        <v>28</v>
      </c>
      <c r="B29" s="4" t="s">
        <v>3</v>
      </c>
      <c r="C29" s="4" t="s">
        <v>27</v>
      </c>
      <c r="D29" s="4" t="str">
        <f t="shared" si="0"/>
        <v>Mitsubishi AC</v>
      </c>
      <c r="E29" s="5" t="str">
        <f t="shared" si="1"/>
        <v>Mitsubishi AC Remotes</v>
      </c>
      <c r="F29" s="4" t="str">
        <f t="shared" si="2"/>
        <v>Mitsubishi AC Remote Control</v>
      </c>
      <c r="G29" s="4" t="str">
        <f t="shared" si="3"/>
        <v>Remote for Mitsubishi AC</v>
      </c>
      <c r="H29" s="4" t="str">
        <f t="shared" si="4"/>
        <v>Mitsubishi Air Conditioner Remote</v>
      </c>
      <c r="I29" s="4" t="str">
        <f t="shared" si="5"/>
        <v>AC Remote for Mitsubishi AC</v>
      </c>
      <c r="J29" s="4" t="str">
        <f t="shared" si="6"/>
        <v>Mitsubishi AC Remote Control Not Working</v>
      </c>
      <c r="K29" s="4" t="s">
        <v>646</v>
      </c>
      <c r="L29" s="4" t="s">
        <v>646</v>
      </c>
      <c r="M29" s="4" t="s">
        <v>514</v>
      </c>
      <c r="N29" s="4" t="str">
        <f t="shared" si="7"/>
        <v>Compatible Mitsubishi AC Remotes</v>
      </c>
      <c r="O29" s="1" t="str">
        <f t="shared" si="8"/>
        <v>Get Any Compatible Mitsubishi AC Remotes Easily at Your Door-steps</v>
      </c>
      <c r="P29" s="1" t="str">
        <f t="shared" si="9"/>
        <v>Upix® Compatible Mitsubishi AC Remotes</v>
      </c>
      <c r="Q29" s="1" t="str">
        <f t="shared" si="10"/>
        <v>Get Any Upix® Compatible Mitsubishi AC Remotes Easily at Your Door-steps</v>
      </c>
      <c r="R29" s="1" t="s">
        <v>643</v>
      </c>
      <c r="S29" s="5" t="str">
        <f t="shared" si="11"/>
        <v>Upix® Compatible Mitsubishi AC Remotes</v>
      </c>
      <c r="T29" s="1" t="s">
        <v>644</v>
      </c>
    </row>
    <row r="30" spans="1:20" x14ac:dyDescent="0.3">
      <c r="A30" s="4">
        <v>29</v>
      </c>
      <c r="B30" s="4" t="s">
        <v>3</v>
      </c>
      <c r="C30" s="4" t="s">
        <v>28</v>
      </c>
      <c r="D30" s="4" t="str">
        <f t="shared" si="0"/>
        <v>Neurofuzzy AC</v>
      </c>
      <c r="E30" s="5" t="str">
        <f t="shared" si="1"/>
        <v>Neurofuzzy AC Remotes</v>
      </c>
      <c r="F30" s="4" t="str">
        <f t="shared" si="2"/>
        <v>Neurofuzzy AC Remote Control</v>
      </c>
      <c r="G30" s="4" t="str">
        <f t="shared" si="3"/>
        <v>Remote for Neurofuzzy AC</v>
      </c>
      <c r="H30" s="4" t="str">
        <f t="shared" si="4"/>
        <v>Neurofuzzy Air Conditioner Remote</v>
      </c>
      <c r="I30" s="4" t="str">
        <f t="shared" si="5"/>
        <v>AC Remote for Neurofuzzy AC</v>
      </c>
      <c r="J30" s="4" t="str">
        <f t="shared" si="6"/>
        <v>Neurofuzzy AC Remote Control Not Working</v>
      </c>
      <c r="K30" s="4" t="s">
        <v>646</v>
      </c>
      <c r="M30" s="4" t="s">
        <v>546</v>
      </c>
      <c r="N30" s="4" t="str">
        <f t="shared" si="7"/>
        <v>Compatible Neurofuzzy AC Remotes</v>
      </c>
      <c r="O30" s="1" t="str">
        <f t="shared" si="8"/>
        <v>Get Any Compatible Neurofuzzy AC Remotes Easily at Your Door-steps</v>
      </c>
      <c r="P30" s="1" t="str">
        <f t="shared" si="9"/>
        <v>Upix® Compatible Neurofuzzy AC Remotes</v>
      </c>
      <c r="Q30" s="1" t="str">
        <f t="shared" si="10"/>
        <v>Get Any Upix® Compatible Neurofuzzy AC Remotes Easily at Your Door-steps</v>
      </c>
      <c r="R30" s="1" t="s">
        <v>643</v>
      </c>
      <c r="S30" s="4" t="str">
        <f t="shared" si="11"/>
        <v>Upix® Compatible Neurofuzzy AC Remotes</v>
      </c>
      <c r="T30" s="1" t="s">
        <v>644</v>
      </c>
    </row>
    <row r="31" spans="1:20" x14ac:dyDescent="0.3">
      <c r="A31" s="4">
        <v>30</v>
      </c>
      <c r="B31" s="4" t="s">
        <v>3</v>
      </c>
      <c r="C31" s="4" t="s">
        <v>29</v>
      </c>
      <c r="D31" s="4" t="str">
        <f t="shared" si="0"/>
        <v>O General AC</v>
      </c>
      <c r="E31" s="5" t="str">
        <f t="shared" si="1"/>
        <v>O General AC Remotes</v>
      </c>
      <c r="F31" s="4" t="str">
        <f t="shared" si="2"/>
        <v>O General AC Remote Control</v>
      </c>
      <c r="G31" s="4" t="str">
        <f t="shared" si="3"/>
        <v>Remote for O General AC</v>
      </c>
      <c r="H31" s="4" t="str">
        <f t="shared" si="4"/>
        <v>O General Air Conditioner Remote</v>
      </c>
      <c r="I31" s="4" t="str">
        <f t="shared" si="5"/>
        <v>AC Remote for O General AC</v>
      </c>
      <c r="J31" s="4" t="str">
        <f t="shared" si="6"/>
        <v>O General AC Remote Control Not Working</v>
      </c>
      <c r="K31" s="4" t="s">
        <v>646</v>
      </c>
      <c r="M31" s="4" t="s">
        <v>547</v>
      </c>
      <c r="N31" s="4" t="str">
        <f t="shared" si="7"/>
        <v>Compatible O General AC Remotes</v>
      </c>
      <c r="O31" s="1" t="str">
        <f t="shared" si="8"/>
        <v>Get Any Compatible O General AC Remotes Easily at Your Door-steps</v>
      </c>
      <c r="P31" s="1" t="str">
        <f t="shared" si="9"/>
        <v>Upix® Compatible O General AC Remotes</v>
      </c>
      <c r="Q31" s="1" t="str">
        <f t="shared" si="10"/>
        <v>Get Any Upix® Compatible O General AC Remotes Easily at Your Door-steps</v>
      </c>
      <c r="R31" s="1" t="s">
        <v>643</v>
      </c>
      <c r="S31" s="4" t="str">
        <f t="shared" si="11"/>
        <v>Upix® Compatible O General AC Remotes</v>
      </c>
      <c r="T31" s="1" t="s">
        <v>644</v>
      </c>
    </row>
    <row r="32" spans="1:20" x14ac:dyDescent="0.3">
      <c r="A32" s="4">
        <v>31</v>
      </c>
      <c r="B32" s="4" t="s">
        <v>3</v>
      </c>
      <c r="C32" s="4" t="s">
        <v>30</v>
      </c>
      <c r="D32" s="4" t="str">
        <f t="shared" si="0"/>
        <v>Panasonic AC</v>
      </c>
      <c r="E32" s="5" t="str">
        <f t="shared" si="1"/>
        <v>Panasonic AC Remotes</v>
      </c>
      <c r="F32" s="4" t="str">
        <f t="shared" si="2"/>
        <v>Panasonic AC Remote Control</v>
      </c>
      <c r="G32" s="4" t="str">
        <f t="shared" si="3"/>
        <v>Remote for Panasonic AC</v>
      </c>
      <c r="H32" s="4" t="str">
        <f t="shared" si="4"/>
        <v>Panasonic Air Conditioner Remote</v>
      </c>
      <c r="I32" s="4" t="str">
        <f t="shared" si="5"/>
        <v>AC Remote for Panasonic AC</v>
      </c>
      <c r="J32" s="4" t="str">
        <f t="shared" si="6"/>
        <v>Panasonic AC Remote Control Not Working</v>
      </c>
      <c r="K32" s="4" t="s">
        <v>646</v>
      </c>
      <c r="L32" s="4" t="s">
        <v>646</v>
      </c>
      <c r="M32" s="4" t="s">
        <v>516</v>
      </c>
      <c r="N32" s="4" t="str">
        <f t="shared" si="7"/>
        <v>Compatible Panasonic AC Remotes</v>
      </c>
      <c r="O32" s="1" t="str">
        <f t="shared" si="8"/>
        <v>Get Any Compatible Panasonic AC Remotes Easily at Your Door-steps</v>
      </c>
      <c r="P32" s="1" t="str">
        <f t="shared" si="9"/>
        <v>Upix® Compatible Panasonic AC Remotes</v>
      </c>
      <c r="Q32" s="1" t="str">
        <f t="shared" si="10"/>
        <v>Get Any Upix® Compatible Panasonic AC Remotes Easily at Your Door-steps</v>
      </c>
      <c r="R32" s="1" t="s">
        <v>643</v>
      </c>
      <c r="S32" s="4" t="str">
        <f t="shared" si="11"/>
        <v>Upix® Compatible Panasonic AC Remotes</v>
      </c>
      <c r="T32" s="1" t="s">
        <v>644</v>
      </c>
    </row>
    <row r="33" spans="1:20" x14ac:dyDescent="0.3">
      <c r="A33" s="4">
        <v>32</v>
      </c>
      <c r="B33" s="4" t="s">
        <v>3</v>
      </c>
      <c r="C33" s="4" t="s">
        <v>31</v>
      </c>
      <c r="D33" s="4" t="str">
        <f t="shared" si="0"/>
        <v>Samsung AC</v>
      </c>
      <c r="E33" s="5" t="str">
        <f t="shared" si="1"/>
        <v>Samsung AC Remotes</v>
      </c>
      <c r="F33" s="4" t="str">
        <f t="shared" si="2"/>
        <v>Samsung AC Remote Control</v>
      </c>
      <c r="G33" s="4" t="str">
        <f t="shared" si="3"/>
        <v>Remote for Samsung AC</v>
      </c>
      <c r="H33" s="4" t="str">
        <f t="shared" si="4"/>
        <v>Samsung Air Conditioner Remote</v>
      </c>
      <c r="I33" s="4" t="str">
        <f t="shared" si="5"/>
        <v>AC Remote for Samsung AC</v>
      </c>
      <c r="J33" s="4" t="str">
        <f t="shared" si="6"/>
        <v>Samsung AC Remote Control Not Working</v>
      </c>
      <c r="K33" s="4" t="s">
        <v>646</v>
      </c>
      <c r="L33" s="4" t="s">
        <v>646</v>
      </c>
      <c r="M33" s="4" t="s">
        <v>515</v>
      </c>
      <c r="N33" s="4" t="str">
        <f t="shared" si="7"/>
        <v>Compatible Samsung AC Remotes</v>
      </c>
      <c r="O33" s="1" t="str">
        <f t="shared" si="8"/>
        <v>Get Any Compatible Samsung AC Remotes Easily at Your Door-steps</v>
      </c>
      <c r="P33" s="1" t="str">
        <f t="shared" si="9"/>
        <v>Upix® Compatible Samsung AC Remotes</v>
      </c>
      <c r="Q33" s="1" t="str">
        <f t="shared" si="10"/>
        <v>Get Any Upix® Compatible Samsung AC Remotes Easily at Your Door-steps</v>
      </c>
      <c r="R33" s="1" t="s">
        <v>643</v>
      </c>
      <c r="S33" s="5" t="str">
        <f t="shared" si="11"/>
        <v>Upix® Compatible Samsung AC Remotes</v>
      </c>
      <c r="T33" s="1" t="s">
        <v>644</v>
      </c>
    </row>
    <row r="34" spans="1:20" x14ac:dyDescent="0.3">
      <c r="A34" s="4">
        <v>33</v>
      </c>
      <c r="B34" s="4" t="s">
        <v>3</v>
      </c>
      <c r="C34" s="4" t="s">
        <v>32</v>
      </c>
      <c r="D34" s="4" t="str">
        <f t="shared" ref="D34:D65" si="12">C34&amp;" "&amp;B34</f>
        <v>Reconnect AC</v>
      </c>
      <c r="E34" s="5" t="str">
        <f t="shared" si="1"/>
        <v>Reconnect AC Remotes</v>
      </c>
      <c r="F34" s="4" t="str">
        <f t="shared" si="2"/>
        <v>Reconnect AC Remote Control</v>
      </c>
      <c r="G34" s="4" t="str">
        <f t="shared" si="3"/>
        <v>Remote for Reconnect AC</v>
      </c>
      <c r="H34" s="4" t="str">
        <f t="shared" si="4"/>
        <v>Reconnect Air Conditioner Remote</v>
      </c>
      <c r="I34" s="4" t="str">
        <f t="shared" si="5"/>
        <v>AC Remote for Reconnect AC</v>
      </c>
      <c r="J34" s="4" t="str">
        <f t="shared" si="6"/>
        <v>Reconnect AC Remote Control Not Working</v>
      </c>
      <c r="K34" s="4" t="s">
        <v>646</v>
      </c>
      <c r="M34" s="4" t="s">
        <v>548</v>
      </c>
      <c r="N34" s="4" t="str">
        <f t="shared" si="7"/>
        <v>Compatible Reconnect AC Remotes</v>
      </c>
      <c r="O34" s="1" t="str">
        <f t="shared" si="8"/>
        <v>Get Any Compatible Reconnect AC Remotes Easily at Your Door-steps</v>
      </c>
      <c r="P34" s="1" t="str">
        <f t="shared" si="9"/>
        <v>Upix® Compatible Reconnect AC Remotes</v>
      </c>
      <c r="Q34" s="1" t="str">
        <f t="shared" si="10"/>
        <v>Get Any Upix® Compatible Reconnect AC Remotes Easily at Your Door-steps</v>
      </c>
      <c r="R34" s="1" t="s">
        <v>643</v>
      </c>
      <c r="S34" s="4" t="str">
        <f t="shared" si="11"/>
        <v>Upix® Compatible Reconnect AC Remotes</v>
      </c>
      <c r="T34" s="1" t="s">
        <v>644</v>
      </c>
    </row>
    <row r="35" spans="1:20" x14ac:dyDescent="0.3">
      <c r="A35" s="4">
        <v>34</v>
      </c>
      <c r="B35" s="4" t="s">
        <v>3</v>
      </c>
      <c r="C35" s="4" t="s">
        <v>33</v>
      </c>
      <c r="D35" s="4" t="str">
        <f t="shared" si="12"/>
        <v>Sharp AC</v>
      </c>
      <c r="E35" s="5" t="str">
        <f t="shared" si="1"/>
        <v>Sharp AC Remotes</v>
      </c>
      <c r="F35" s="4" t="str">
        <f t="shared" si="2"/>
        <v>Sharp AC Remote Control</v>
      </c>
      <c r="G35" s="4" t="str">
        <f t="shared" si="3"/>
        <v>Remote for Sharp AC</v>
      </c>
      <c r="H35" s="4" t="str">
        <f t="shared" si="4"/>
        <v>Sharp Air Conditioner Remote</v>
      </c>
      <c r="I35" s="4" t="str">
        <f t="shared" si="5"/>
        <v>AC Remote for Sharp AC</v>
      </c>
      <c r="J35" s="4" t="str">
        <f t="shared" si="6"/>
        <v>Sharp AC Remote Control Not Working</v>
      </c>
      <c r="K35" s="4" t="s">
        <v>646</v>
      </c>
      <c r="M35" s="4" t="s">
        <v>549</v>
      </c>
      <c r="N35" s="4" t="str">
        <f t="shared" si="7"/>
        <v>Compatible Sharp AC Remotes</v>
      </c>
      <c r="O35" s="1" t="str">
        <f t="shared" si="8"/>
        <v>Get Any Compatible Sharp AC Remotes Easily at Your Door-steps</v>
      </c>
      <c r="P35" s="1" t="str">
        <f t="shared" si="9"/>
        <v>Upix® Compatible Sharp AC Remotes</v>
      </c>
      <c r="Q35" s="1" t="str">
        <f t="shared" si="10"/>
        <v>Get Any Upix® Compatible Sharp AC Remotes Easily at Your Door-steps</v>
      </c>
      <c r="R35" s="1" t="s">
        <v>643</v>
      </c>
      <c r="S35" s="4" t="str">
        <f t="shared" si="11"/>
        <v>Upix® Compatible Sharp AC Remotes</v>
      </c>
      <c r="T35" s="1" t="s">
        <v>644</v>
      </c>
    </row>
    <row r="36" spans="1:20" x14ac:dyDescent="0.3">
      <c r="A36" s="4">
        <v>35</v>
      </c>
      <c r="B36" s="4" t="s">
        <v>3</v>
      </c>
      <c r="C36" s="4" t="s">
        <v>34</v>
      </c>
      <c r="D36" s="4" t="str">
        <f t="shared" si="12"/>
        <v>TCL AC</v>
      </c>
      <c r="E36" s="5" t="str">
        <f t="shared" si="1"/>
        <v>TCL AC Remotes</v>
      </c>
      <c r="F36" s="4" t="str">
        <f t="shared" si="2"/>
        <v>TCL AC Remote Control</v>
      </c>
      <c r="G36" s="4" t="str">
        <f t="shared" si="3"/>
        <v>Remote for TCL AC</v>
      </c>
      <c r="H36" s="4" t="str">
        <f t="shared" si="4"/>
        <v>TCL Air Conditioner Remote</v>
      </c>
      <c r="I36" s="4" t="str">
        <f t="shared" si="5"/>
        <v>AC Remote for TCL AC</v>
      </c>
      <c r="J36" s="4" t="str">
        <f t="shared" si="6"/>
        <v>TCL AC Remote Control Not Working</v>
      </c>
      <c r="K36" s="4" t="s">
        <v>646</v>
      </c>
      <c r="M36" s="4" t="s">
        <v>550</v>
      </c>
      <c r="N36" s="4" t="str">
        <f t="shared" si="7"/>
        <v>Compatible TCL AC Remotes</v>
      </c>
      <c r="O36" s="1" t="str">
        <f t="shared" si="8"/>
        <v>Get Any Compatible TCL AC Remotes Easily at Your Door-steps</v>
      </c>
      <c r="P36" s="1" t="str">
        <f t="shared" si="9"/>
        <v>Upix® Compatible TCL AC Remotes</v>
      </c>
      <c r="Q36" s="1" t="str">
        <f t="shared" si="10"/>
        <v>Get Any Upix® Compatible TCL AC Remotes Easily at Your Door-steps</v>
      </c>
      <c r="R36" s="1" t="s">
        <v>643</v>
      </c>
      <c r="S36" s="4" t="str">
        <f t="shared" si="11"/>
        <v>Upix® Compatible TCL AC Remotes</v>
      </c>
      <c r="T36" s="1" t="s">
        <v>644</v>
      </c>
    </row>
    <row r="37" spans="1:20" x14ac:dyDescent="0.3">
      <c r="A37" s="4">
        <v>36</v>
      </c>
      <c r="B37" s="4" t="s">
        <v>3</v>
      </c>
      <c r="C37" s="4" t="s">
        <v>35</v>
      </c>
      <c r="D37" s="4" t="str">
        <f t="shared" si="12"/>
        <v>Toshiba AC</v>
      </c>
      <c r="E37" s="5" t="str">
        <f t="shared" si="1"/>
        <v>Toshiba AC Remotes</v>
      </c>
      <c r="F37" s="4" t="str">
        <f t="shared" si="2"/>
        <v>Toshiba AC Remote Control</v>
      </c>
      <c r="G37" s="4" t="str">
        <f t="shared" si="3"/>
        <v>Remote for Toshiba AC</v>
      </c>
      <c r="H37" s="4" t="str">
        <f t="shared" si="4"/>
        <v>Toshiba Air Conditioner Remote</v>
      </c>
      <c r="I37" s="4" t="str">
        <f t="shared" si="5"/>
        <v>AC Remote for Toshiba AC</v>
      </c>
      <c r="J37" s="4" t="str">
        <f t="shared" si="6"/>
        <v>Toshiba AC Remote Control Not Working</v>
      </c>
      <c r="K37" s="4" t="s">
        <v>646</v>
      </c>
      <c r="M37" s="4" t="s">
        <v>551</v>
      </c>
      <c r="N37" s="4" t="str">
        <f t="shared" si="7"/>
        <v>Compatible Toshiba AC Remotes</v>
      </c>
      <c r="O37" s="1" t="str">
        <f t="shared" si="8"/>
        <v>Get Any Compatible Toshiba AC Remotes Easily at Your Door-steps</v>
      </c>
      <c r="P37" s="1" t="str">
        <f t="shared" si="9"/>
        <v>Upix® Compatible Toshiba AC Remotes</v>
      </c>
      <c r="Q37" s="1" t="str">
        <f t="shared" si="10"/>
        <v>Get Any Upix® Compatible Toshiba AC Remotes Easily at Your Door-steps</v>
      </c>
      <c r="R37" s="1" t="s">
        <v>643</v>
      </c>
      <c r="S37" s="4" t="str">
        <f t="shared" si="11"/>
        <v>Upix® Compatible Toshiba AC Remotes</v>
      </c>
      <c r="T37" s="1" t="s">
        <v>644</v>
      </c>
    </row>
    <row r="38" spans="1:20" x14ac:dyDescent="0.3">
      <c r="A38" s="4">
        <v>37</v>
      </c>
      <c r="B38" s="4" t="s">
        <v>3</v>
      </c>
      <c r="C38" s="4" t="s">
        <v>36</v>
      </c>
      <c r="D38" s="4" t="str">
        <f t="shared" si="12"/>
        <v>Vestar AC</v>
      </c>
      <c r="E38" s="5" t="str">
        <f t="shared" si="1"/>
        <v>Vestar AC Remotes</v>
      </c>
      <c r="F38" s="4" t="str">
        <f t="shared" si="2"/>
        <v>Vestar AC Remote Control</v>
      </c>
      <c r="G38" s="4" t="str">
        <f t="shared" si="3"/>
        <v>Remote for Vestar AC</v>
      </c>
      <c r="H38" s="4" t="str">
        <f t="shared" si="4"/>
        <v>Vestar Air Conditioner Remote</v>
      </c>
      <c r="I38" s="4" t="str">
        <f t="shared" si="5"/>
        <v>AC Remote for Vestar AC</v>
      </c>
      <c r="J38" s="4" t="str">
        <f t="shared" si="6"/>
        <v>Vestar AC Remote Control Not Working</v>
      </c>
      <c r="K38" s="4" t="s">
        <v>646</v>
      </c>
      <c r="M38" s="4" t="s">
        <v>552</v>
      </c>
      <c r="N38" s="4" t="str">
        <f t="shared" si="7"/>
        <v>Compatible Vestar AC Remotes</v>
      </c>
      <c r="O38" s="1" t="str">
        <f t="shared" si="8"/>
        <v>Get Any Compatible Vestar AC Remotes Easily at Your Door-steps</v>
      </c>
      <c r="P38" s="1" t="str">
        <f t="shared" si="9"/>
        <v>Upix® Compatible Vestar AC Remotes</v>
      </c>
      <c r="Q38" s="1" t="str">
        <f t="shared" si="10"/>
        <v>Get Any Upix® Compatible Vestar AC Remotes Easily at Your Door-steps</v>
      </c>
      <c r="R38" s="1" t="s">
        <v>643</v>
      </c>
      <c r="S38" s="4" t="str">
        <f t="shared" si="11"/>
        <v>Upix® Compatible Vestar AC Remotes</v>
      </c>
      <c r="T38" s="1" t="s">
        <v>644</v>
      </c>
    </row>
    <row r="39" spans="1:20" x14ac:dyDescent="0.3">
      <c r="A39" s="4">
        <v>38</v>
      </c>
      <c r="B39" s="4" t="s">
        <v>3</v>
      </c>
      <c r="C39" s="4" t="s">
        <v>37</v>
      </c>
      <c r="D39" s="4" t="str">
        <f t="shared" si="12"/>
        <v>York AC</v>
      </c>
      <c r="E39" s="5" t="str">
        <f t="shared" si="1"/>
        <v>York AC Remotes</v>
      </c>
      <c r="F39" s="4" t="str">
        <f t="shared" si="2"/>
        <v>York AC Remote Control</v>
      </c>
      <c r="G39" s="4" t="str">
        <f t="shared" si="3"/>
        <v>Remote for York AC</v>
      </c>
      <c r="H39" s="4" t="str">
        <f t="shared" si="4"/>
        <v>York Air Conditioner Remote</v>
      </c>
      <c r="I39" s="4" t="str">
        <f t="shared" si="5"/>
        <v>AC Remote for York AC</v>
      </c>
      <c r="J39" s="4" t="str">
        <f t="shared" si="6"/>
        <v>York AC Remote Control Not Working</v>
      </c>
      <c r="K39" s="4" t="s">
        <v>646</v>
      </c>
      <c r="M39" s="4" t="s">
        <v>553</v>
      </c>
      <c r="N39" s="4" t="str">
        <f t="shared" si="7"/>
        <v>Compatible York AC Remotes</v>
      </c>
      <c r="O39" s="1" t="str">
        <f t="shared" si="8"/>
        <v>Get Any Compatible York AC Remotes Easily at Your Door-steps</v>
      </c>
      <c r="P39" s="1" t="str">
        <f t="shared" si="9"/>
        <v>Upix® Compatible York AC Remotes</v>
      </c>
      <c r="Q39" s="1" t="str">
        <f t="shared" si="10"/>
        <v>Get Any Upix® Compatible York AC Remotes Easily at Your Door-steps</v>
      </c>
      <c r="R39" s="1" t="s">
        <v>643</v>
      </c>
      <c r="S39" s="4" t="str">
        <f t="shared" si="11"/>
        <v>Upix® Compatible York AC Remotes</v>
      </c>
      <c r="T39" s="1" t="s">
        <v>644</v>
      </c>
    </row>
    <row r="40" spans="1:20" x14ac:dyDescent="0.3">
      <c r="A40" s="4">
        <v>39</v>
      </c>
      <c r="B40" s="4" t="s">
        <v>3</v>
      </c>
      <c r="C40" s="4" t="s">
        <v>38</v>
      </c>
      <c r="D40" s="4" t="str">
        <f t="shared" si="12"/>
        <v>Camipro AC</v>
      </c>
      <c r="E40" s="5" t="str">
        <f t="shared" si="1"/>
        <v>Camipro AC Remotes</v>
      </c>
      <c r="F40" s="4" t="str">
        <f t="shared" si="2"/>
        <v>Camipro AC Remote Control</v>
      </c>
      <c r="G40" s="4" t="str">
        <f t="shared" si="3"/>
        <v>Remote for Camipro AC</v>
      </c>
      <c r="H40" s="4" t="str">
        <f t="shared" si="4"/>
        <v>Camipro Air Conditioner Remote</v>
      </c>
      <c r="I40" s="4" t="str">
        <f t="shared" si="5"/>
        <v>AC Remote for Camipro AC</v>
      </c>
      <c r="J40" s="4" t="str">
        <f t="shared" si="6"/>
        <v>Camipro AC Remote Control Not Working</v>
      </c>
      <c r="K40" s="4" t="s">
        <v>646</v>
      </c>
      <c r="M40" s="4" t="s">
        <v>554</v>
      </c>
      <c r="N40" s="4" t="str">
        <f t="shared" si="7"/>
        <v>Compatible Camipro AC Remotes</v>
      </c>
      <c r="O40" s="1" t="str">
        <f t="shared" si="8"/>
        <v>Get Any Compatible Camipro AC Remotes Easily at Your Door-steps</v>
      </c>
      <c r="P40" s="1" t="str">
        <f t="shared" si="9"/>
        <v>Upix® Compatible Camipro AC Remotes</v>
      </c>
      <c r="Q40" s="1" t="str">
        <f t="shared" si="10"/>
        <v>Get Any Upix® Compatible Camipro AC Remotes Easily at Your Door-steps</v>
      </c>
      <c r="R40" s="1" t="s">
        <v>643</v>
      </c>
      <c r="S40" s="4" t="str">
        <f t="shared" si="11"/>
        <v>Upix® Compatible Camipro AC Remotes</v>
      </c>
      <c r="T40" s="1" t="s">
        <v>644</v>
      </c>
    </row>
    <row r="41" spans="1:20" x14ac:dyDescent="0.3">
      <c r="A41" s="4">
        <v>40</v>
      </c>
      <c r="B41" s="4" t="s">
        <v>3</v>
      </c>
      <c r="C41" s="4" t="s">
        <v>431</v>
      </c>
      <c r="D41" s="4" t="str">
        <f t="shared" si="12"/>
        <v>Aura AC</v>
      </c>
      <c r="E41" s="5" t="str">
        <f t="shared" si="1"/>
        <v>Aura AC Remotes</v>
      </c>
      <c r="F41" s="4" t="str">
        <f t="shared" si="2"/>
        <v>Aura AC Remote Control</v>
      </c>
      <c r="G41" s="4" t="str">
        <f t="shared" si="3"/>
        <v>Remote for Aura AC</v>
      </c>
      <c r="H41" s="4" t="str">
        <f t="shared" si="4"/>
        <v>Aura Air Conditioner Remote</v>
      </c>
      <c r="I41" s="4" t="str">
        <f t="shared" si="5"/>
        <v>AC Remote for Aura AC</v>
      </c>
      <c r="J41" s="4" t="str">
        <f t="shared" si="6"/>
        <v>Aura AC Remote Control Not Working</v>
      </c>
      <c r="K41" s="4" t="s">
        <v>646</v>
      </c>
      <c r="M41" s="4" t="s">
        <v>555</v>
      </c>
      <c r="N41" s="4" t="str">
        <f t="shared" si="7"/>
        <v>Compatible Aura AC Remotes</v>
      </c>
      <c r="O41" s="1" t="str">
        <f t="shared" si="8"/>
        <v>Get Any Compatible Aura AC Remotes Easily at Your Door-steps</v>
      </c>
      <c r="P41" s="1" t="str">
        <f t="shared" si="9"/>
        <v>Upix® Compatible Aura AC Remotes</v>
      </c>
      <c r="Q41" s="1" t="str">
        <f t="shared" si="10"/>
        <v>Get Any Upix® Compatible Aura AC Remotes Easily at Your Door-steps</v>
      </c>
      <c r="R41" s="1" t="s">
        <v>643</v>
      </c>
      <c r="S41" s="4" t="str">
        <f t="shared" si="11"/>
        <v>Upix® Compatible Aura AC Remotes</v>
      </c>
      <c r="T41" s="1" t="s">
        <v>644</v>
      </c>
    </row>
    <row r="42" spans="1:20" x14ac:dyDescent="0.3">
      <c r="A42" s="4">
        <v>41</v>
      </c>
      <c r="B42" s="4" t="s">
        <v>3</v>
      </c>
      <c r="C42" s="4" t="s">
        <v>68</v>
      </c>
      <c r="D42" s="4" t="str">
        <f t="shared" si="12"/>
        <v>Amstrad AC</v>
      </c>
      <c r="E42" s="5" t="str">
        <f t="shared" si="1"/>
        <v>Amstrad AC Remotes</v>
      </c>
      <c r="F42" s="4" t="str">
        <f t="shared" si="2"/>
        <v>Amstrad AC Remote Control</v>
      </c>
      <c r="G42" s="4" t="str">
        <f t="shared" si="3"/>
        <v>Remote for Amstrad AC</v>
      </c>
      <c r="H42" s="4" t="str">
        <f t="shared" si="4"/>
        <v>Amstrad Air Conditioner Remote</v>
      </c>
      <c r="I42" s="4" t="str">
        <f t="shared" si="5"/>
        <v>AC Remote for Amstrad AC</v>
      </c>
      <c r="J42" s="4" t="str">
        <f t="shared" si="6"/>
        <v>Amstrad AC Remote Control Not Working</v>
      </c>
      <c r="K42" s="4" t="s">
        <v>646</v>
      </c>
      <c r="M42" s="4" t="s">
        <v>556</v>
      </c>
      <c r="N42" s="4" t="str">
        <f t="shared" si="7"/>
        <v>Compatible Amstrad AC Remotes</v>
      </c>
      <c r="O42" s="1" t="str">
        <f t="shared" si="8"/>
        <v>Get Any Compatible Amstrad AC Remotes Easily at Your Door-steps</v>
      </c>
      <c r="P42" s="1" t="str">
        <f t="shared" si="9"/>
        <v>Upix® Compatible Amstrad AC Remotes</v>
      </c>
      <c r="Q42" s="1" t="str">
        <f t="shared" si="10"/>
        <v>Get Any Upix® Compatible Amstrad AC Remotes Easily at Your Door-steps</v>
      </c>
      <c r="R42" s="1" t="s">
        <v>643</v>
      </c>
      <c r="S42" s="4" t="str">
        <f t="shared" si="11"/>
        <v>Upix® Compatible Amstrad AC Remotes</v>
      </c>
      <c r="T42" s="1" t="s">
        <v>644</v>
      </c>
    </row>
    <row r="43" spans="1:20" x14ac:dyDescent="0.3">
      <c r="A43" s="4">
        <v>42</v>
      </c>
      <c r="B43" s="4" t="s">
        <v>3</v>
      </c>
      <c r="C43" s="4" t="s">
        <v>70</v>
      </c>
      <c r="D43" s="4" t="str">
        <f t="shared" si="12"/>
        <v>Nitoshi AC</v>
      </c>
      <c r="E43" s="5" t="str">
        <f t="shared" si="1"/>
        <v>Nitoshi AC Remotes</v>
      </c>
      <c r="F43" s="4" t="str">
        <f t="shared" si="2"/>
        <v>Nitoshi AC Remote Control</v>
      </c>
      <c r="G43" s="4" t="str">
        <f t="shared" si="3"/>
        <v>Remote for Nitoshi AC</v>
      </c>
      <c r="H43" s="4" t="str">
        <f t="shared" si="4"/>
        <v>Nitoshi Air Conditioner Remote</v>
      </c>
      <c r="I43" s="4" t="str">
        <f t="shared" si="5"/>
        <v>AC Remote for Nitoshi AC</v>
      </c>
      <c r="J43" s="4" t="str">
        <f t="shared" si="6"/>
        <v>Nitoshi AC Remote Control Not Working</v>
      </c>
      <c r="K43" s="4" t="s">
        <v>646</v>
      </c>
      <c r="M43" s="4" t="s">
        <v>557</v>
      </c>
      <c r="N43" s="4" t="str">
        <f t="shared" si="7"/>
        <v>Compatible Nitoshi AC Remotes</v>
      </c>
      <c r="O43" s="1" t="str">
        <f t="shared" si="8"/>
        <v>Get Any Compatible Nitoshi AC Remotes Easily at Your Door-steps</v>
      </c>
      <c r="P43" s="1" t="str">
        <f t="shared" si="9"/>
        <v>Upix® Compatible Nitoshi AC Remotes</v>
      </c>
      <c r="Q43" s="1" t="str">
        <f t="shared" si="10"/>
        <v>Get Any Upix® Compatible Nitoshi AC Remotes Easily at Your Door-steps</v>
      </c>
      <c r="R43" s="1" t="s">
        <v>643</v>
      </c>
      <c r="S43" s="4" t="str">
        <f t="shared" si="11"/>
        <v>Upix® Compatible Nitoshi AC Remotes</v>
      </c>
      <c r="T43" s="1" t="s">
        <v>644</v>
      </c>
    </row>
    <row r="44" spans="1:20" x14ac:dyDescent="0.3">
      <c r="A44" s="4">
        <v>43</v>
      </c>
      <c r="B44" s="4" t="s">
        <v>3</v>
      </c>
      <c r="C44" s="4" t="s">
        <v>71</v>
      </c>
      <c r="D44" s="4" t="str">
        <f t="shared" si="12"/>
        <v>Marq AC</v>
      </c>
      <c r="E44" s="5" t="str">
        <f t="shared" si="1"/>
        <v>Marq AC Remotes</v>
      </c>
      <c r="F44" s="4" t="str">
        <f t="shared" si="2"/>
        <v>Marq AC Remote Control</v>
      </c>
      <c r="G44" s="4" t="str">
        <f t="shared" si="3"/>
        <v>Remote for Marq AC</v>
      </c>
      <c r="H44" s="4" t="str">
        <f t="shared" si="4"/>
        <v>Marq Air Conditioner Remote</v>
      </c>
      <c r="I44" s="4" t="str">
        <f t="shared" si="5"/>
        <v>AC Remote for Marq AC</v>
      </c>
      <c r="J44" s="4" t="str">
        <f t="shared" si="6"/>
        <v>Marq AC Remote Control Not Working</v>
      </c>
      <c r="K44" s="4" t="s">
        <v>646</v>
      </c>
      <c r="M44" s="4" t="s">
        <v>558</v>
      </c>
      <c r="N44" s="4" t="str">
        <f t="shared" si="7"/>
        <v>Compatible Marq AC Remotes</v>
      </c>
      <c r="O44" s="1" t="str">
        <f t="shared" si="8"/>
        <v>Get Any Compatible Marq AC Remotes Easily at Your Door-steps</v>
      </c>
      <c r="P44" s="1" t="str">
        <f t="shared" si="9"/>
        <v>Upix® Compatible Marq AC Remotes</v>
      </c>
      <c r="Q44" s="1" t="str">
        <f t="shared" si="10"/>
        <v>Get Any Upix® Compatible Marq AC Remotes Easily at Your Door-steps</v>
      </c>
      <c r="R44" s="1" t="s">
        <v>643</v>
      </c>
      <c r="S44" s="4" t="str">
        <f t="shared" si="11"/>
        <v>Upix® Compatible Marq AC Remotes</v>
      </c>
      <c r="T44" s="1" t="s">
        <v>644</v>
      </c>
    </row>
    <row r="45" spans="1:20" x14ac:dyDescent="0.3">
      <c r="A45" s="4">
        <v>44</v>
      </c>
      <c r="B45" s="4" t="s">
        <v>3</v>
      </c>
      <c r="C45" s="4" t="s">
        <v>69</v>
      </c>
      <c r="D45" s="4" t="str">
        <f t="shared" si="12"/>
        <v>Vise AC</v>
      </c>
      <c r="E45" s="5" t="str">
        <f t="shared" si="1"/>
        <v>Vise AC Remotes</v>
      </c>
      <c r="F45" s="4" t="str">
        <f t="shared" si="2"/>
        <v>Vise AC Remote Control</v>
      </c>
      <c r="G45" s="4" t="str">
        <f t="shared" si="3"/>
        <v>Remote for Vise AC</v>
      </c>
      <c r="H45" s="4" t="str">
        <f t="shared" si="4"/>
        <v>Vise Air Conditioner Remote</v>
      </c>
      <c r="I45" s="4" t="str">
        <f t="shared" si="5"/>
        <v>AC Remote for Vise AC</v>
      </c>
      <c r="J45" s="4" t="str">
        <f t="shared" si="6"/>
        <v>Vise AC Remote Control Not Working</v>
      </c>
      <c r="K45" s="4" t="s">
        <v>646</v>
      </c>
      <c r="M45" s="4" t="s">
        <v>559</v>
      </c>
      <c r="N45" s="4" t="str">
        <f t="shared" si="7"/>
        <v>Compatible Vise AC Remotes</v>
      </c>
      <c r="O45" s="1" t="str">
        <f t="shared" si="8"/>
        <v>Get Any Compatible Vise AC Remotes Easily at Your Door-steps</v>
      </c>
      <c r="P45" s="1" t="str">
        <f t="shared" si="9"/>
        <v>Upix® Compatible Vise AC Remotes</v>
      </c>
      <c r="Q45" s="1" t="str">
        <f t="shared" si="10"/>
        <v>Get Any Upix® Compatible Vise AC Remotes Easily at Your Door-steps</v>
      </c>
      <c r="R45" s="1" t="s">
        <v>643</v>
      </c>
      <c r="S45" s="4" t="str">
        <f t="shared" si="11"/>
        <v>Upix® Compatible Vise AC Remotes</v>
      </c>
      <c r="T45" s="1" t="s">
        <v>644</v>
      </c>
    </row>
    <row r="46" spans="1:20" x14ac:dyDescent="0.3">
      <c r="A46" s="4">
        <v>45</v>
      </c>
      <c r="B46" s="4" t="s">
        <v>3</v>
      </c>
      <c r="C46" s="4" t="s">
        <v>49</v>
      </c>
      <c r="D46" s="4" t="str">
        <f t="shared" si="12"/>
        <v>Mitashi AC</v>
      </c>
      <c r="E46" s="5" t="str">
        <f t="shared" si="1"/>
        <v>Mitashi AC Remotes</v>
      </c>
      <c r="F46" s="4" t="str">
        <f t="shared" si="2"/>
        <v>Mitashi AC Remote Control</v>
      </c>
      <c r="G46" s="4" t="str">
        <f t="shared" si="3"/>
        <v>Remote for Mitashi AC</v>
      </c>
      <c r="H46" s="4" t="str">
        <f t="shared" si="4"/>
        <v>Mitashi Air Conditioner Remote</v>
      </c>
      <c r="I46" s="4" t="str">
        <f t="shared" si="5"/>
        <v>AC Remote for Mitashi AC</v>
      </c>
      <c r="J46" s="4" t="str">
        <f t="shared" si="6"/>
        <v>Mitashi AC Remote Control Not Working</v>
      </c>
      <c r="K46" s="4" t="s">
        <v>646</v>
      </c>
      <c r="M46" s="4" t="s">
        <v>560</v>
      </c>
      <c r="N46" s="4" t="str">
        <f t="shared" si="7"/>
        <v>Compatible Mitashi AC Remotes</v>
      </c>
      <c r="O46" s="1" t="str">
        <f t="shared" si="8"/>
        <v>Get Any Compatible Mitashi AC Remotes Easily at Your Door-steps</v>
      </c>
      <c r="P46" s="1" t="str">
        <f t="shared" si="9"/>
        <v>Upix® Compatible Mitashi AC Remotes</v>
      </c>
      <c r="Q46" s="1" t="str">
        <f t="shared" si="10"/>
        <v>Get Any Upix® Compatible Mitashi AC Remotes Easily at Your Door-steps</v>
      </c>
      <c r="R46" s="1" t="s">
        <v>643</v>
      </c>
      <c r="S46" s="4" t="str">
        <f t="shared" si="11"/>
        <v>Upix® Compatible Mitashi AC Remotes</v>
      </c>
      <c r="T46" s="1" t="s">
        <v>644</v>
      </c>
    </row>
    <row r="47" spans="1:20" x14ac:dyDescent="0.3">
      <c r="A47" s="4">
        <v>46</v>
      </c>
      <c r="B47" s="4" t="s">
        <v>3</v>
      </c>
      <c r="C47" s="4" t="s">
        <v>48</v>
      </c>
      <c r="D47" s="4" t="str">
        <f t="shared" si="12"/>
        <v>Micromax AC</v>
      </c>
      <c r="E47" s="5" t="str">
        <f t="shared" si="1"/>
        <v>Micromax AC Remotes</v>
      </c>
      <c r="F47" s="4" t="str">
        <f t="shared" si="2"/>
        <v>Micromax AC Remote Control</v>
      </c>
      <c r="G47" s="4" t="str">
        <f t="shared" si="3"/>
        <v>Remote for Micromax AC</v>
      </c>
      <c r="H47" s="4" t="str">
        <f t="shared" si="4"/>
        <v>Micromax Air Conditioner Remote</v>
      </c>
      <c r="I47" s="4" t="str">
        <f t="shared" si="5"/>
        <v>AC Remote for Micromax AC</v>
      </c>
      <c r="J47" s="4" t="str">
        <f t="shared" si="6"/>
        <v>Micromax AC Remote Control Not Working</v>
      </c>
      <c r="K47" s="4" t="s">
        <v>646</v>
      </c>
      <c r="M47" s="4" t="s">
        <v>561</v>
      </c>
      <c r="N47" s="4" t="str">
        <f t="shared" si="7"/>
        <v>Compatible Micromax AC Remotes</v>
      </c>
      <c r="O47" s="1" t="str">
        <f t="shared" si="8"/>
        <v>Get Any Compatible Micromax AC Remotes Easily at Your Door-steps</v>
      </c>
      <c r="P47" s="1" t="str">
        <f t="shared" si="9"/>
        <v>Upix® Compatible Micromax AC Remotes</v>
      </c>
      <c r="Q47" s="1" t="str">
        <f t="shared" si="10"/>
        <v>Get Any Upix® Compatible Micromax AC Remotes Easily at Your Door-steps</v>
      </c>
      <c r="R47" s="1" t="s">
        <v>643</v>
      </c>
      <c r="S47" s="4" t="str">
        <f t="shared" si="11"/>
        <v>Upix® Compatible Micromax AC Remotes</v>
      </c>
      <c r="T47" s="1" t="s">
        <v>644</v>
      </c>
    </row>
    <row r="48" spans="1:20" x14ac:dyDescent="0.3">
      <c r="A48" s="4">
        <v>47</v>
      </c>
      <c r="B48" s="4" t="s">
        <v>3</v>
      </c>
      <c r="C48" s="4" t="s">
        <v>432</v>
      </c>
      <c r="D48" s="4" t="str">
        <f t="shared" si="12"/>
        <v>Croma AC</v>
      </c>
      <c r="E48" s="5" t="str">
        <f t="shared" si="1"/>
        <v>Croma AC Remotes</v>
      </c>
      <c r="F48" s="4" t="str">
        <f t="shared" si="2"/>
        <v>Croma AC Remote Control</v>
      </c>
      <c r="G48" s="4" t="str">
        <f t="shared" si="3"/>
        <v>Remote for Croma AC</v>
      </c>
      <c r="H48" s="4" t="str">
        <f t="shared" si="4"/>
        <v>Croma Air Conditioner Remote</v>
      </c>
      <c r="I48" s="4" t="str">
        <f t="shared" si="5"/>
        <v>AC Remote for Croma AC</v>
      </c>
      <c r="J48" s="4" t="str">
        <f t="shared" si="6"/>
        <v>Croma AC Remote Control Not Working</v>
      </c>
      <c r="K48" s="4" t="s">
        <v>646</v>
      </c>
      <c r="M48" s="4" t="s">
        <v>562</v>
      </c>
      <c r="N48" s="4" t="str">
        <f t="shared" si="7"/>
        <v>Compatible Croma AC Remotes</v>
      </c>
      <c r="O48" s="1" t="str">
        <f t="shared" si="8"/>
        <v>Get Any Compatible Croma AC Remotes Easily at Your Door-steps</v>
      </c>
      <c r="P48" s="1" t="str">
        <f t="shared" si="9"/>
        <v>Upix® Compatible Croma AC Remotes</v>
      </c>
      <c r="Q48" s="1" t="str">
        <f t="shared" si="10"/>
        <v>Get Any Upix® Compatible Croma AC Remotes Easily at Your Door-steps</v>
      </c>
      <c r="R48" s="1" t="s">
        <v>643</v>
      </c>
      <c r="S48" s="4" t="str">
        <f t="shared" si="11"/>
        <v>Upix® Compatible Croma AC Remotes</v>
      </c>
      <c r="T48" s="1" t="s">
        <v>644</v>
      </c>
    </row>
    <row r="49" spans="1:20" x14ac:dyDescent="0.3">
      <c r="A49" s="4">
        <v>48</v>
      </c>
      <c r="B49" s="4" t="s">
        <v>3</v>
      </c>
      <c r="C49" s="4" t="s">
        <v>440</v>
      </c>
      <c r="D49" s="4" t="str">
        <f t="shared" si="12"/>
        <v>Intec AC</v>
      </c>
      <c r="E49" s="5" t="str">
        <f t="shared" si="1"/>
        <v>Intec AC Remotes</v>
      </c>
      <c r="F49" s="4" t="str">
        <f t="shared" si="2"/>
        <v>Intec AC Remote Control</v>
      </c>
      <c r="G49" s="4" t="str">
        <f t="shared" si="3"/>
        <v>Remote for Intec AC</v>
      </c>
      <c r="H49" s="4" t="str">
        <f t="shared" si="4"/>
        <v>Intec Air Conditioner Remote</v>
      </c>
      <c r="I49" s="4" t="str">
        <f t="shared" si="5"/>
        <v>AC Remote for Intec AC</v>
      </c>
      <c r="J49" s="4" t="str">
        <f t="shared" si="6"/>
        <v>Intec AC Remote Control Not Working</v>
      </c>
      <c r="K49" s="4" t="s">
        <v>646</v>
      </c>
      <c r="M49" s="4" t="s">
        <v>563</v>
      </c>
      <c r="N49" s="4" t="str">
        <f t="shared" si="7"/>
        <v>Compatible Intec AC Remotes</v>
      </c>
      <c r="O49" s="1" t="str">
        <f t="shared" si="8"/>
        <v>Get Any Compatible Intec AC Remotes Easily at Your Door-steps</v>
      </c>
      <c r="P49" s="1" t="str">
        <f t="shared" si="9"/>
        <v>Upix® Compatible Intec AC Remotes</v>
      </c>
      <c r="Q49" s="1" t="str">
        <f t="shared" si="10"/>
        <v>Get Any Upix® Compatible Intec AC Remotes Easily at Your Door-steps</v>
      </c>
      <c r="R49" s="1" t="s">
        <v>643</v>
      </c>
      <c r="S49" s="4" t="str">
        <f t="shared" si="11"/>
        <v>Upix® Compatible Intec AC Remotes</v>
      </c>
      <c r="T49" s="1" t="s">
        <v>644</v>
      </c>
    </row>
    <row r="50" spans="1:20" x14ac:dyDescent="0.3">
      <c r="A50" s="4">
        <v>49</v>
      </c>
      <c r="B50" s="4" t="s">
        <v>3</v>
      </c>
      <c r="C50" s="4" t="s">
        <v>39</v>
      </c>
      <c r="D50" s="4" t="str">
        <f t="shared" si="12"/>
        <v>Intex AC</v>
      </c>
      <c r="E50" s="5" t="str">
        <f t="shared" si="1"/>
        <v>Intex AC Remotes</v>
      </c>
      <c r="F50" s="4" t="str">
        <f t="shared" si="2"/>
        <v>Intex AC Remote Control</v>
      </c>
      <c r="G50" s="4" t="str">
        <f t="shared" si="3"/>
        <v>Remote for Intex AC</v>
      </c>
      <c r="H50" s="4" t="str">
        <f t="shared" si="4"/>
        <v>Intex Air Conditioner Remote</v>
      </c>
      <c r="I50" s="4" t="str">
        <f t="shared" si="5"/>
        <v>AC Remote for Intex AC</v>
      </c>
      <c r="J50" s="4" t="str">
        <f t="shared" si="6"/>
        <v>Intex AC Remote Control Not Working</v>
      </c>
      <c r="K50" s="4" t="s">
        <v>646</v>
      </c>
      <c r="M50" s="4" t="s">
        <v>564</v>
      </c>
      <c r="N50" s="4" t="str">
        <f t="shared" si="7"/>
        <v>Compatible Intex AC Remotes</v>
      </c>
      <c r="O50" s="1" t="str">
        <f t="shared" si="8"/>
        <v>Get Any Compatible Intex AC Remotes Easily at Your Door-steps</v>
      </c>
      <c r="P50" s="1" t="str">
        <f t="shared" si="9"/>
        <v>Upix® Compatible Intex AC Remotes</v>
      </c>
      <c r="Q50" s="1" t="str">
        <f t="shared" si="10"/>
        <v>Get Any Upix® Compatible Intex AC Remotes Easily at Your Door-steps</v>
      </c>
      <c r="R50" s="1" t="s">
        <v>643</v>
      </c>
      <c r="S50" s="4" t="str">
        <f t="shared" si="11"/>
        <v>Upix® Compatible Intex AC Remotes</v>
      </c>
      <c r="T50" s="1" t="s">
        <v>644</v>
      </c>
    </row>
    <row r="51" spans="1:20" x14ac:dyDescent="0.3">
      <c r="A51" s="4">
        <v>50</v>
      </c>
      <c r="B51" s="4" t="s">
        <v>3</v>
      </c>
      <c r="C51" s="4" t="s">
        <v>42</v>
      </c>
      <c r="D51" s="4" t="str">
        <f t="shared" si="12"/>
        <v>Akai AC</v>
      </c>
      <c r="E51" s="5" t="str">
        <f t="shared" si="1"/>
        <v>Akai AC Remotes</v>
      </c>
      <c r="F51" s="4" t="str">
        <f t="shared" si="2"/>
        <v>Akai AC Remote Control</v>
      </c>
      <c r="G51" s="4" t="str">
        <f t="shared" si="3"/>
        <v>Remote for Akai AC</v>
      </c>
      <c r="H51" s="4" t="str">
        <f t="shared" si="4"/>
        <v>Akai Air Conditioner Remote</v>
      </c>
      <c r="I51" s="4" t="str">
        <f t="shared" si="5"/>
        <v>AC Remote for Akai AC</v>
      </c>
      <c r="J51" s="4" t="str">
        <f t="shared" si="6"/>
        <v>Akai AC Remote Control Not Working</v>
      </c>
      <c r="K51" s="4" t="s">
        <v>646</v>
      </c>
      <c r="M51" s="4" t="s">
        <v>565</v>
      </c>
      <c r="N51" s="4" t="str">
        <f t="shared" si="7"/>
        <v>Compatible Akai AC Remotes</v>
      </c>
      <c r="O51" s="1" t="str">
        <f t="shared" si="8"/>
        <v>Get Any Compatible Akai AC Remotes Easily at Your Door-steps</v>
      </c>
      <c r="P51" s="1" t="str">
        <f t="shared" si="9"/>
        <v>Upix® Compatible Akai AC Remotes</v>
      </c>
      <c r="Q51" s="1" t="str">
        <f t="shared" si="10"/>
        <v>Get Any Upix® Compatible Akai AC Remotes Easily at Your Door-steps</v>
      </c>
      <c r="R51" s="1" t="s">
        <v>643</v>
      </c>
      <c r="S51" s="4" t="str">
        <f t="shared" si="11"/>
        <v>Upix® Compatible Akai AC Remotes</v>
      </c>
      <c r="T51" s="1" t="s">
        <v>644</v>
      </c>
    </row>
    <row r="52" spans="1:20" x14ac:dyDescent="0.3">
      <c r="A52" s="4">
        <v>51</v>
      </c>
      <c r="B52" s="4" t="s">
        <v>419</v>
      </c>
      <c r="C52" s="4" t="s">
        <v>40</v>
      </c>
      <c r="D52" s="4" t="str">
        <f t="shared" si="12"/>
        <v>Weston LCD/LED TV</v>
      </c>
      <c r="E52" s="5" t="str">
        <f t="shared" si="1"/>
        <v>Weston LCD/LED TV Remotes</v>
      </c>
      <c r="F52" s="4" t="str">
        <f t="shared" si="2"/>
        <v>Weston LCD/LED TV Remote Control</v>
      </c>
      <c r="G52" s="4" t="str">
        <f t="shared" si="3"/>
        <v>Remote for Weston LCD/LED TV</v>
      </c>
      <c r="H52" s="4" t="str">
        <f>C52&amp;" LCD Remote"</f>
        <v>Weston LCD Remote</v>
      </c>
      <c r="I52" s="4" t="str">
        <f t="shared" si="5"/>
        <v>LCD/LED TV Remote for Weston LCD/LED TV</v>
      </c>
      <c r="J52" s="4" t="str">
        <f>C52&amp;" LED Remote"</f>
        <v>Weston LED Remote</v>
      </c>
      <c r="K52" s="4" t="s">
        <v>646</v>
      </c>
      <c r="M52" s="4" t="s">
        <v>1219</v>
      </c>
      <c r="N52" s="4" t="str">
        <f t="shared" si="7"/>
        <v>Compatible Weston LCD/LED TV Remotes</v>
      </c>
      <c r="O52" s="1" t="str">
        <f t="shared" si="8"/>
        <v>Get Any Compatible Weston LCD/LED TV Remotes Easily at Your Door-steps</v>
      </c>
      <c r="P52" s="1" t="str">
        <f t="shared" si="9"/>
        <v>Upix® Compatible Weston LCD/LED TV Remotes</v>
      </c>
      <c r="Q52" s="1" t="str">
        <f t="shared" si="10"/>
        <v>Get Any Upix® Compatible Weston LCD/LED TV Remotes Easily at Your Door-steps</v>
      </c>
      <c r="R52" s="1" t="s">
        <v>643</v>
      </c>
      <c r="S52" s="4" t="str">
        <f t="shared" si="11"/>
        <v>Upix® Compatible Weston LCD/LED TV Remotes</v>
      </c>
      <c r="T52" s="1" t="s">
        <v>644</v>
      </c>
    </row>
    <row r="53" spans="1:20" x14ac:dyDescent="0.3">
      <c r="A53" s="4">
        <v>52</v>
      </c>
      <c r="B53" s="4" t="s">
        <v>419</v>
      </c>
      <c r="C53" s="4" t="s">
        <v>1355</v>
      </c>
      <c r="D53" s="4" t="str">
        <f t="shared" si="12"/>
        <v>Sony Bravia LCD/LED TV</v>
      </c>
      <c r="E53" s="5" t="str">
        <f t="shared" si="1"/>
        <v>Sony Bravia LCD/LED TV Remotes</v>
      </c>
      <c r="F53" s="4" t="str">
        <f t="shared" si="2"/>
        <v>Sony Bravia LCD/LED TV Remote Control</v>
      </c>
      <c r="G53" s="4" t="str">
        <f t="shared" si="3"/>
        <v>Remote for Sony Bravia LCD/LED TV</v>
      </c>
      <c r="H53" s="4" t="str">
        <f t="shared" ref="H53:H77" si="13">C53&amp;" LCD Remote"</f>
        <v>Sony Bravia LCD Remote</v>
      </c>
      <c r="I53" s="4" t="str">
        <f t="shared" si="5"/>
        <v>LCD/LED TV Remote for Sony Bravia LCD/LED TV</v>
      </c>
      <c r="J53" s="4" t="str">
        <f t="shared" ref="J53:J77" si="14">C53&amp;" LED Remote"</f>
        <v>Sony Bravia LED Remote</v>
      </c>
      <c r="K53" s="4" t="s">
        <v>646</v>
      </c>
      <c r="L53" s="4" t="s">
        <v>646</v>
      </c>
      <c r="M53" s="4" t="s">
        <v>1220</v>
      </c>
      <c r="N53" s="4" t="str">
        <f t="shared" si="7"/>
        <v>Compatible Sony Bravia LCD/LED TV Remotes</v>
      </c>
      <c r="O53" s="1" t="str">
        <f t="shared" si="8"/>
        <v>Get Any Compatible Sony Bravia LCD/LED TV Remotes Easily at Your Door-steps</v>
      </c>
      <c r="P53" s="1" t="str">
        <f t="shared" si="9"/>
        <v>Upix® Compatible Sony Bravia LCD/LED TV Remotes</v>
      </c>
      <c r="Q53" s="1" t="str">
        <f t="shared" si="10"/>
        <v>Get Any Upix® Compatible Sony Bravia LCD/LED TV Remotes Easily at Your Door-steps</v>
      </c>
      <c r="R53" s="1" t="s">
        <v>643</v>
      </c>
      <c r="S53" s="4" t="str">
        <f t="shared" si="11"/>
        <v>Upix® Compatible Sony Bravia LCD/LED TV Remotes</v>
      </c>
      <c r="T53" s="1" t="s">
        <v>644</v>
      </c>
    </row>
    <row r="54" spans="1:20" x14ac:dyDescent="0.3">
      <c r="A54" s="4">
        <v>53</v>
      </c>
      <c r="B54" s="4" t="s">
        <v>419</v>
      </c>
      <c r="C54" s="4" t="s">
        <v>31</v>
      </c>
      <c r="D54" s="4" t="str">
        <f t="shared" si="12"/>
        <v>Samsung LCD/LED TV</v>
      </c>
      <c r="E54" s="5" t="str">
        <f t="shared" si="1"/>
        <v>Samsung LCD/LED TV Remotes</v>
      </c>
      <c r="F54" s="4" t="str">
        <f t="shared" si="2"/>
        <v>Samsung LCD/LED TV Remote Control</v>
      </c>
      <c r="G54" s="4" t="str">
        <f t="shared" si="3"/>
        <v>Remote for Samsung LCD/LED TV</v>
      </c>
      <c r="H54" s="4" t="str">
        <f t="shared" si="13"/>
        <v>Samsung LCD Remote</v>
      </c>
      <c r="I54" s="4" t="str">
        <f t="shared" si="5"/>
        <v>LCD/LED TV Remote for Samsung LCD/LED TV</v>
      </c>
      <c r="J54" s="4" t="str">
        <f t="shared" si="14"/>
        <v>Samsung LED Remote</v>
      </c>
      <c r="K54" s="4" t="s">
        <v>646</v>
      </c>
      <c r="L54" s="4" t="s">
        <v>646</v>
      </c>
      <c r="M54" s="4" t="s">
        <v>1221</v>
      </c>
      <c r="N54" s="4" t="str">
        <f t="shared" si="7"/>
        <v>Compatible Samsung LCD/LED TV Remotes</v>
      </c>
      <c r="O54" s="1" t="str">
        <f t="shared" si="8"/>
        <v>Get Any Compatible Samsung LCD/LED TV Remotes Easily at Your Door-steps</v>
      </c>
      <c r="P54" s="1" t="str">
        <f t="shared" si="9"/>
        <v>Upix® Compatible Samsung LCD/LED TV Remotes</v>
      </c>
      <c r="Q54" s="1" t="str">
        <f t="shared" si="10"/>
        <v>Get Any Upix® Compatible Samsung LCD/LED TV Remotes Easily at Your Door-steps</v>
      </c>
      <c r="R54" s="1" t="s">
        <v>643</v>
      </c>
      <c r="S54" s="4" t="str">
        <f t="shared" si="11"/>
        <v>Upix® Compatible Samsung LCD/LED TV Remotes</v>
      </c>
      <c r="T54" s="1" t="s">
        <v>644</v>
      </c>
    </row>
    <row r="55" spans="1:20" x14ac:dyDescent="0.3">
      <c r="A55" s="4">
        <v>54</v>
      </c>
      <c r="B55" s="4" t="s">
        <v>419</v>
      </c>
      <c r="C55" s="4" t="s">
        <v>30</v>
      </c>
      <c r="D55" s="4" t="str">
        <f t="shared" si="12"/>
        <v>Panasonic LCD/LED TV</v>
      </c>
      <c r="E55" s="5" t="str">
        <f t="shared" si="1"/>
        <v>Panasonic LCD/LED TV Remotes</v>
      </c>
      <c r="F55" s="4" t="str">
        <f t="shared" si="2"/>
        <v>Panasonic LCD/LED TV Remote Control</v>
      </c>
      <c r="G55" s="4" t="str">
        <f t="shared" si="3"/>
        <v>Remote for Panasonic LCD/LED TV</v>
      </c>
      <c r="H55" s="4" t="str">
        <f t="shared" si="13"/>
        <v>Panasonic LCD Remote</v>
      </c>
      <c r="I55" s="4" t="str">
        <f t="shared" si="5"/>
        <v>LCD/LED TV Remote for Panasonic LCD/LED TV</v>
      </c>
      <c r="J55" s="4" t="str">
        <f t="shared" si="14"/>
        <v>Panasonic LED Remote</v>
      </c>
      <c r="K55" s="4" t="s">
        <v>646</v>
      </c>
      <c r="L55" s="4" t="s">
        <v>646</v>
      </c>
      <c r="M55" s="4" t="s">
        <v>1180</v>
      </c>
      <c r="N55" s="4" t="str">
        <f t="shared" si="7"/>
        <v>Compatible Panasonic LCD/LED TV Remotes</v>
      </c>
      <c r="O55" s="1" t="str">
        <f t="shared" si="8"/>
        <v>Get Any Compatible Panasonic LCD/LED TV Remotes Easily at Your Door-steps</v>
      </c>
      <c r="P55" s="1" t="str">
        <f t="shared" si="9"/>
        <v>Upix® Compatible Panasonic LCD/LED TV Remotes</v>
      </c>
      <c r="Q55" s="1" t="str">
        <f t="shared" si="10"/>
        <v>Get Any Upix® Compatible Panasonic LCD/LED TV Remotes Easily at Your Door-steps</v>
      </c>
      <c r="R55" s="1" t="s">
        <v>643</v>
      </c>
      <c r="S55" s="4" t="str">
        <f t="shared" si="11"/>
        <v>Upix® Compatible Panasonic LCD/LED TV Remotes</v>
      </c>
      <c r="T55" s="1" t="s">
        <v>644</v>
      </c>
    </row>
    <row r="56" spans="1:20" x14ac:dyDescent="0.3">
      <c r="A56" s="4">
        <v>55</v>
      </c>
      <c r="B56" s="4" t="s">
        <v>419</v>
      </c>
      <c r="C56" s="4" t="s">
        <v>42</v>
      </c>
      <c r="D56" s="4" t="str">
        <f t="shared" si="12"/>
        <v>Akai LCD/LED TV</v>
      </c>
      <c r="E56" s="5" t="str">
        <f t="shared" si="1"/>
        <v>Akai LCD/LED TV Remotes</v>
      </c>
      <c r="F56" s="4" t="str">
        <f t="shared" si="2"/>
        <v>Akai LCD/LED TV Remote Control</v>
      </c>
      <c r="G56" s="4" t="str">
        <f t="shared" si="3"/>
        <v>Remote for Akai LCD/LED TV</v>
      </c>
      <c r="H56" s="4" t="str">
        <f t="shared" si="13"/>
        <v>Akai LCD Remote</v>
      </c>
      <c r="I56" s="4" t="str">
        <f t="shared" si="5"/>
        <v>LCD/LED TV Remote for Akai LCD/LED TV</v>
      </c>
      <c r="J56" s="4" t="str">
        <f t="shared" si="14"/>
        <v>Akai LED Remote</v>
      </c>
      <c r="K56" s="4" t="s">
        <v>646</v>
      </c>
      <c r="M56" s="4" t="s">
        <v>1181</v>
      </c>
      <c r="N56" s="4" t="str">
        <f t="shared" si="7"/>
        <v>Compatible Akai LCD/LED TV Remotes</v>
      </c>
      <c r="O56" s="1" t="str">
        <f t="shared" si="8"/>
        <v>Get Any Compatible Akai LCD/LED TV Remotes Easily at Your Door-steps</v>
      </c>
      <c r="P56" s="1" t="str">
        <f t="shared" si="9"/>
        <v>Upix® Compatible Akai LCD/LED TV Remotes</v>
      </c>
      <c r="Q56" s="1" t="str">
        <f t="shared" si="10"/>
        <v>Get Any Upix® Compatible Akai LCD/LED TV Remotes Easily at Your Door-steps</v>
      </c>
      <c r="R56" s="1" t="s">
        <v>643</v>
      </c>
      <c r="S56" s="4" t="str">
        <f t="shared" si="11"/>
        <v>Upix® Compatible Akai LCD/LED TV Remotes</v>
      </c>
      <c r="T56" s="1" t="s">
        <v>644</v>
      </c>
    </row>
    <row r="57" spans="1:20" x14ac:dyDescent="0.3">
      <c r="A57" s="4">
        <v>56</v>
      </c>
      <c r="B57" s="4" t="s">
        <v>419</v>
      </c>
      <c r="C57" s="4" t="s">
        <v>9</v>
      </c>
      <c r="D57" s="4" t="str">
        <f t="shared" si="12"/>
        <v>Videocon LCD/LED TV</v>
      </c>
      <c r="E57" s="5" t="str">
        <f t="shared" si="1"/>
        <v>Videocon LCD/LED TV Remotes</v>
      </c>
      <c r="F57" s="4" t="str">
        <f t="shared" si="2"/>
        <v>Videocon LCD/LED TV Remote Control</v>
      </c>
      <c r="G57" s="4" t="str">
        <f t="shared" si="3"/>
        <v>Remote for Videocon LCD/LED TV</v>
      </c>
      <c r="H57" s="4" t="str">
        <f t="shared" si="13"/>
        <v>Videocon LCD Remote</v>
      </c>
      <c r="I57" s="4" t="str">
        <f t="shared" si="5"/>
        <v>LCD/LED TV Remote for Videocon LCD/LED TV</v>
      </c>
      <c r="J57" s="4" t="str">
        <f t="shared" si="14"/>
        <v>Videocon LED Remote</v>
      </c>
      <c r="K57" s="4" t="s">
        <v>646</v>
      </c>
      <c r="M57" s="4" t="s">
        <v>1182</v>
      </c>
      <c r="N57" s="4" t="str">
        <f t="shared" si="7"/>
        <v>Compatible Videocon LCD/LED TV Remotes</v>
      </c>
      <c r="O57" s="1" t="str">
        <f t="shared" si="8"/>
        <v>Get Any Compatible Videocon LCD/LED TV Remotes Easily at Your Door-steps</v>
      </c>
      <c r="P57" s="1" t="str">
        <f t="shared" si="9"/>
        <v>Upix® Compatible Videocon LCD/LED TV Remotes</v>
      </c>
      <c r="Q57" s="1" t="str">
        <f t="shared" si="10"/>
        <v>Get Any Upix® Compatible Videocon LCD/LED TV Remotes Easily at Your Door-steps</v>
      </c>
      <c r="R57" s="1" t="s">
        <v>643</v>
      </c>
      <c r="S57" s="4" t="str">
        <f t="shared" si="11"/>
        <v>Upix® Compatible Videocon LCD/LED TV Remotes</v>
      </c>
      <c r="T57" s="1" t="s">
        <v>644</v>
      </c>
    </row>
    <row r="58" spans="1:20" x14ac:dyDescent="0.3">
      <c r="A58" s="4">
        <v>57</v>
      </c>
      <c r="B58" s="4" t="s">
        <v>419</v>
      </c>
      <c r="C58" s="4" t="s">
        <v>16</v>
      </c>
      <c r="D58" s="4" t="str">
        <f t="shared" si="12"/>
        <v>Sansui LCD/LED TV</v>
      </c>
      <c r="E58" s="5" t="str">
        <f t="shared" si="1"/>
        <v>Sansui LCD/LED TV Remotes</v>
      </c>
      <c r="F58" s="4" t="str">
        <f t="shared" si="2"/>
        <v>Sansui LCD/LED TV Remote Control</v>
      </c>
      <c r="G58" s="4" t="str">
        <f t="shared" si="3"/>
        <v>Remote for Sansui LCD/LED TV</v>
      </c>
      <c r="H58" s="4" t="str">
        <f t="shared" si="13"/>
        <v>Sansui LCD Remote</v>
      </c>
      <c r="I58" s="4" t="str">
        <f t="shared" si="5"/>
        <v>LCD/LED TV Remote for Sansui LCD/LED TV</v>
      </c>
      <c r="J58" s="4" t="str">
        <f t="shared" si="14"/>
        <v>Sansui LED Remote</v>
      </c>
      <c r="K58" s="4" t="s">
        <v>646</v>
      </c>
      <c r="M58" s="4" t="s">
        <v>1222</v>
      </c>
      <c r="N58" s="4" t="str">
        <f t="shared" si="7"/>
        <v>Compatible Sansui LCD/LED TV Remotes</v>
      </c>
      <c r="O58" s="1" t="str">
        <f t="shared" si="8"/>
        <v>Get Any Compatible Sansui LCD/LED TV Remotes Easily at Your Door-steps</v>
      </c>
      <c r="P58" s="1" t="str">
        <f t="shared" si="9"/>
        <v>Upix® Compatible Sansui LCD/LED TV Remotes</v>
      </c>
      <c r="Q58" s="1" t="str">
        <f t="shared" si="10"/>
        <v>Get Any Upix® Compatible Sansui LCD/LED TV Remotes Easily at Your Door-steps</v>
      </c>
      <c r="R58" s="1" t="s">
        <v>643</v>
      </c>
      <c r="S58" s="4" t="str">
        <f t="shared" si="11"/>
        <v>Upix® Compatible Sansui LCD/LED TV Remotes</v>
      </c>
      <c r="T58" s="1" t="s">
        <v>644</v>
      </c>
    </row>
    <row r="59" spans="1:20" x14ac:dyDescent="0.3">
      <c r="A59" s="4">
        <v>58</v>
      </c>
      <c r="B59" s="4" t="s">
        <v>419</v>
      </c>
      <c r="C59" s="4" t="s">
        <v>25</v>
      </c>
      <c r="D59" s="4" t="str">
        <f t="shared" si="12"/>
        <v>LG LCD/LED TV</v>
      </c>
      <c r="E59" s="5" t="str">
        <f t="shared" si="1"/>
        <v>LG LCD/LED TV Remotes</v>
      </c>
      <c r="F59" s="4" t="str">
        <f t="shared" si="2"/>
        <v>LG LCD/LED TV Remote Control</v>
      </c>
      <c r="G59" s="4" t="str">
        <f t="shared" si="3"/>
        <v>Remote for LG LCD/LED TV</v>
      </c>
      <c r="H59" s="4" t="str">
        <f t="shared" si="13"/>
        <v>LG LCD Remote</v>
      </c>
      <c r="I59" s="4" t="str">
        <f t="shared" si="5"/>
        <v>LCD/LED TV Remote for LG LCD/LED TV</v>
      </c>
      <c r="J59" s="4" t="str">
        <f t="shared" si="14"/>
        <v>LG LED Remote</v>
      </c>
      <c r="K59" s="4" t="s">
        <v>646</v>
      </c>
      <c r="L59" s="4" t="s">
        <v>646</v>
      </c>
      <c r="M59" s="4" t="s">
        <v>1223</v>
      </c>
      <c r="N59" s="4" t="str">
        <f t="shared" si="7"/>
        <v>Compatible LG LCD/LED TV Remotes</v>
      </c>
      <c r="O59" s="1" t="str">
        <f t="shared" si="8"/>
        <v>Get Any Compatible LG LCD/LED TV Remotes Easily at Your Door-steps</v>
      </c>
      <c r="P59" s="1" t="str">
        <f t="shared" si="9"/>
        <v>Upix® Compatible LG LCD/LED TV Remotes</v>
      </c>
      <c r="Q59" s="1" t="str">
        <f t="shared" si="10"/>
        <v>Get Any Upix® Compatible LG LCD/LED TV Remotes Easily at Your Door-steps</v>
      </c>
      <c r="R59" s="1" t="s">
        <v>643</v>
      </c>
      <c r="S59" s="4" t="str">
        <f t="shared" si="11"/>
        <v>Upix® Compatible LG LCD/LED TV Remotes</v>
      </c>
      <c r="T59" s="1" t="s">
        <v>644</v>
      </c>
    </row>
    <row r="60" spans="1:20" x14ac:dyDescent="0.3">
      <c r="A60" s="4">
        <v>59</v>
      </c>
      <c r="B60" s="4" t="s">
        <v>419</v>
      </c>
      <c r="C60" s="4" t="s">
        <v>13</v>
      </c>
      <c r="D60" s="4" t="str">
        <f t="shared" si="12"/>
        <v>Koryo LCD/LED TV</v>
      </c>
      <c r="E60" s="5" t="str">
        <f t="shared" si="1"/>
        <v>Koryo LCD/LED TV Remotes</v>
      </c>
      <c r="F60" s="4" t="str">
        <f t="shared" si="2"/>
        <v>Koryo LCD/LED TV Remote Control</v>
      </c>
      <c r="G60" s="4" t="str">
        <f t="shared" si="3"/>
        <v>Remote for Koryo LCD/LED TV</v>
      </c>
      <c r="H60" s="4" t="str">
        <f t="shared" si="13"/>
        <v>Koryo LCD Remote</v>
      </c>
      <c r="I60" s="4" t="str">
        <f t="shared" si="5"/>
        <v>LCD/LED TV Remote for Koryo LCD/LED TV</v>
      </c>
      <c r="J60" s="4" t="str">
        <f t="shared" si="14"/>
        <v>Koryo LED Remote</v>
      </c>
      <c r="K60" s="4" t="s">
        <v>646</v>
      </c>
      <c r="M60" s="4" t="s">
        <v>1183</v>
      </c>
      <c r="N60" s="4" t="str">
        <f t="shared" si="7"/>
        <v>Compatible Koryo LCD/LED TV Remotes</v>
      </c>
      <c r="O60" s="1" t="str">
        <f t="shared" si="8"/>
        <v>Get Any Compatible Koryo LCD/LED TV Remotes Easily at Your Door-steps</v>
      </c>
      <c r="P60" s="1" t="str">
        <f t="shared" si="9"/>
        <v>Upix® Compatible Koryo LCD/LED TV Remotes</v>
      </c>
      <c r="Q60" s="1" t="str">
        <f t="shared" si="10"/>
        <v>Get Any Upix® Compatible Koryo LCD/LED TV Remotes Easily at Your Door-steps</v>
      </c>
      <c r="R60" s="1" t="s">
        <v>643</v>
      </c>
      <c r="S60" s="4" t="str">
        <f t="shared" si="11"/>
        <v>Upix® Compatible Koryo LCD/LED TV Remotes</v>
      </c>
      <c r="T60" s="1" t="s">
        <v>644</v>
      </c>
    </row>
    <row r="61" spans="1:20" x14ac:dyDescent="0.3">
      <c r="A61" s="4">
        <v>60</v>
      </c>
      <c r="B61" s="4" t="s">
        <v>419</v>
      </c>
      <c r="C61" s="5" t="s">
        <v>43</v>
      </c>
      <c r="D61" s="4" t="str">
        <f t="shared" si="12"/>
        <v>Vu LCD/LED TV</v>
      </c>
      <c r="E61" s="5" t="str">
        <f t="shared" si="1"/>
        <v>Vu LCD/LED TV Remotes</v>
      </c>
      <c r="F61" s="4" t="str">
        <f t="shared" si="2"/>
        <v>Vu LCD/LED TV Remote Control</v>
      </c>
      <c r="G61" s="4" t="str">
        <f t="shared" si="3"/>
        <v>Remote for Vu LCD/LED TV</v>
      </c>
      <c r="H61" s="4" t="str">
        <f t="shared" si="13"/>
        <v>Vu LCD Remote</v>
      </c>
      <c r="I61" s="4" t="str">
        <f t="shared" si="5"/>
        <v>LCD/LED TV Remote for Vu LCD/LED TV</v>
      </c>
      <c r="J61" s="4" t="str">
        <f t="shared" si="14"/>
        <v>Vu LED Remote</v>
      </c>
      <c r="K61" s="4" t="s">
        <v>646</v>
      </c>
      <c r="M61" s="4" t="s">
        <v>1184</v>
      </c>
      <c r="N61" s="4" t="str">
        <f t="shared" si="7"/>
        <v>Compatible Vu LCD/LED TV Remotes</v>
      </c>
      <c r="O61" s="1" t="str">
        <f t="shared" si="8"/>
        <v>Get Any Compatible Vu LCD/LED TV Remotes Easily at Your Door-steps</v>
      </c>
      <c r="P61" s="1" t="str">
        <f t="shared" si="9"/>
        <v>Upix® Compatible Vu LCD/LED TV Remotes</v>
      </c>
      <c r="Q61" s="1" t="str">
        <f t="shared" si="10"/>
        <v>Get Any Upix® Compatible Vu LCD/LED TV Remotes Easily at Your Door-steps</v>
      </c>
      <c r="R61" s="1" t="s">
        <v>643</v>
      </c>
      <c r="S61" s="4" t="str">
        <f t="shared" si="11"/>
        <v>Upix® Compatible Vu LCD/LED TV Remotes</v>
      </c>
      <c r="T61" s="1" t="s">
        <v>644</v>
      </c>
    </row>
    <row r="62" spans="1:20" x14ac:dyDescent="0.3">
      <c r="A62" s="4">
        <v>61</v>
      </c>
      <c r="B62" s="4" t="s">
        <v>419</v>
      </c>
      <c r="C62" s="4" t="s">
        <v>44</v>
      </c>
      <c r="D62" s="4" t="str">
        <f t="shared" si="12"/>
        <v>AOC LCD/LED TV</v>
      </c>
      <c r="E62" s="5" t="str">
        <f t="shared" si="1"/>
        <v>AOC LCD/LED TV Remotes</v>
      </c>
      <c r="F62" s="4" t="str">
        <f t="shared" si="2"/>
        <v>AOC LCD/LED TV Remote Control</v>
      </c>
      <c r="G62" s="4" t="str">
        <f t="shared" si="3"/>
        <v>Remote for AOC LCD/LED TV</v>
      </c>
      <c r="H62" s="4" t="str">
        <f t="shared" si="13"/>
        <v>AOC LCD Remote</v>
      </c>
      <c r="I62" s="4" t="str">
        <f t="shared" si="5"/>
        <v>LCD/LED TV Remote for AOC LCD/LED TV</v>
      </c>
      <c r="J62" s="4" t="str">
        <f t="shared" si="14"/>
        <v>AOC LED Remote</v>
      </c>
      <c r="K62" s="4" t="s">
        <v>646</v>
      </c>
      <c r="M62" s="4" t="s">
        <v>1185</v>
      </c>
      <c r="N62" s="4" t="str">
        <f t="shared" si="7"/>
        <v>Compatible AOC LCD/LED TV Remotes</v>
      </c>
      <c r="O62" s="1" t="str">
        <f t="shared" si="8"/>
        <v>Get Any Compatible AOC LCD/LED TV Remotes Easily at Your Door-steps</v>
      </c>
      <c r="P62" s="1" t="str">
        <f t="shared" si="9"/>
        <v>Upix® Compatible AOC LCD/LED TV Remotes</v>
      </c>
      <c r="Q62" s="1" t="str">
        <f t="shared" si="10"/>
        <v>Get Any Upix® Compatible AOC LCD/LED TV Remotes Easily at Your Door-steps</v>
      </c>
      <c r="R62" s="1" t="s">
        <v>643</v>
      </c>
      <c r="S62" s="4" t="str">
        <f t="shared" si="11"/>
        <v>Upix® Compatible AOC LCD/LED TV Remotes</v>
      </c>
      <c r="T62" s="1" t="s">
        <v>644</v>
      </c>
    </row>
    <row r="63" spans="1:20" x14ac:dyDescent="0.3">
      <c r="A63" s="4">
        <v>62</v>
      </c>
      <c r="B63" s="4" t="s">
        <v>419</v>
      </c>
      <c r="C63" s="4" t="s">
        <v>45</v>
      </c>
      <c r="D63" s="4" t="str">
        <f t="shared" si="12"/>
        <v>Funai LCD/LED TV</v>
      </c>
      <c r="E63" s="5" t="str">
        <f t="shared" si="1"/>
        <v>Funai LCD/LED TV Remotes</v>
      </c>
      <c r="F63" s="4" t="str">
        <f t="shared" si="2"/>
        <v>Funai LCD/LED TV Remote Control</v>
      </c>
      <c r="G63" s="4" t="str">
        <f t="shared" si="3"/>
        <v>Remote for Funai LCD/LED TV</v>
      </c>
      <c r="H63" s="4" t="str">
        <f t="shared" si="13"/>
        <v>Funai LCD Remote</v>
      </c>
      <c r="I63" s="4" t="str">
        <f t="shared" si="5"/>
        <v>LCD/LED TV Remote for Funai LCD/LED TV</v>
      </c>
      <c r="J63" s="4" t="str">
        <f t="shared" si="14"/>
        <v>Funai LED Remote</v>
      </c>
      <c r="K63" s="4" t="s">
        <v>646</v>
      </c>
      <c r="M63" s="4" t="s">
        <v>1186</v>
      </c>
      <c r="N63" s="4" t="str">
        <f t="shared" si="7"/>
        <v>Compatible Funai LCD/LED TV Remotes</v>
      </c>
      <c r="O63" s="1" t="str">
        <f t="shared" si="8"/>
        <v>Get Any Compatible Funai LCD/LED TV Remotes Easily at Your Door-steps</v>
      </c>
      <c r="P63" s="1" t="str">
        <f t="shared" si="9"/>
        <v>Upix® Compatible Funai LCD/LED TV Remotes</v>
      </c>
      <c r="Q63" s="1" t="str">
        <f t="shared" si="10"/>
        <v>Get Any Upix® Compatible Funai LCD/LED TV Remotes Easily at Your Door-steps</v>
      </c>
      <c r="R63" s="1" t="s">
        <v>643</v>
      </c>
      <c r="S63" s="4" t="str">
        <f t="shared" si="11"/>
        <v>Upix® Compatible Funai LCD/LED TV Remotes</v>
      </c>
      <c r="T63" s="1" t="s">
        <v>644</v>
      </c>
    </row>
    <row r="64" spans="1:20" x14ac:dyDescent="0.3">
      <c r="A64" s="4">
        <v>63</v>
      </c>
      <c r="B64" s="4" t="s">
        <v>419</v>
      </c>
      <c r="C64" s="4" t="s">
        <v>46</v>
      </c>
      <c r="D64" s="4" t="str">
        <f t="shared" si="12"/>
        <v>Futec LCD/LED TV</v>
      </c>
      <c r="E64" s="5" t="str">
        <f t="shared" si="1"/>
        <v>Futec LCD/LED TV Remotes</v>
      </c>
      <c r="F64" s="4" t="str">
        <f t="shared" si="2"/>
        <v>Futec LCD/LED TV Remote Control</v>
      </c>
      <c r="G64" s="4" t="str">
        <f t="shared" si="3"/>
        <v>Remote for Futec LCD/LED TV</v>
      </c>
      <c r="H64" s="4" t="str">
        <f t="shared" si="13"/>
        <v>Futec LCD Remote</v>
      </c>
      <c r="I64" s="4" t="str">
        <f t="shared" si="5"/>
        <v>LCD/LED TV Remote for Futec LCD/LED TV</v>
      </c>
      <c r="J64" s="4" t="str">
        <f t="shared" si="14"/>
        <v>Futec LED Remote</v>
      </c>
      <c r="K64" s="4" t="s">
        <v>646</v>
      </c>
      <c r="M64" s="4" t="s">
        <v>1187</v>
      </c>
      <c r="N64" s="4" t="str">
        <f t="shared" si="7"/>
        <v>Compatible Futec LCD/LED TV Remotes</v>
      </c>
      <c r="O64" s="1" t="str">
        <f t="shared" si="8"/>
        <v>Get Any Compatible Futec LCD/LED TV Remotes Easily at Your Door-steps</v>
      </c>
      <c r="P64" s="1" t="str">
        <f t="shared" si="9"/>
        <v>Upix® Compatible Futec LCD/LED TV Remotes</v>
      </c>
      <c r="Q64" s="1" t="str">
        <f t="shared" si="10"/>
        <v>Get Any Upix® Compatible Futec LCD/LED TV Remotes Easily at Your Door-steps</v>
      </c>
      <c r="R64" s="1" t="s">
        <v>643</v>
      </c>
      <c r="S64" s="4" t="str">
        <f t="shared" si="11"/>
        <v>Upix® Compatible Futec LCD/LED TV Remotes</v>
      </c>
      <c r="T64" s="1" t="s">
        <v>644</v>
      </c>
    </row>
    <row r="65" spans="1:20" x14ac:dyDescent="0.3">
      <c r="A65" s="4">
        <v>64</v>
      </c>
      <c r="B65" s="4" t="s">
        <v>419</v>
      </c>
      <c r="C65" s="4" t="s">
        <v>47</v>
      </c>
      <c r="D65" s="4" t="str">
        <f t="shared" si="12"/>
        <v>Genus LCD/LED TV</v>
      </c>
      <c r="E65" s="5" t="str">
        <f>D65&amp;" Remotes"</f>
        <v>Genus LCD/LED TV Remotes</v>
      </c>
      <c r="F65" s="4" t="str">
        <f t="shared" si="2"/>
        <v>Genus LCD/LED TV Remote Control</v>
      </c>
      <c r="G65" s="4" t="str">
        <f t="shared" si="3"/>
        <v>Remote for Genus LCD/LED TV</v>
      </c>
      <c r="H65" s="4" t="str">
        <f t="shared" si="13"/>
        <v>Genus LCD Remote</v>
      </c>
      <c r="I65" s="4" t="str">
        <f t="shared" si="5"/>
        <v>LCD/LED TV Remote for Genus LCD/LED TV</v>
      </c>
      <c r="J65" s="4" t="str">
        <f t="shared" si="14"/>
        <v>Genus LED Remote</v>
      </c>
      <c r="K65" s="4" t="s">
        <v>646</v>
      </c>
      <c r="M65" s="4" t="s">
        <v>1188</v>
      </c>
      <c r="N65" s="4" t="str">
        <f t="shared" si="7"/>
        <v>Compatible Genus LCD/LED TV Remotes</v>
      </c>
      <c r="O65" s="1" t="str">
        <f t="shared" si="8"/>
        <v>Get Any Compatible Genus LCD/LED TV Remotes Easily at Your Door-steps</v>
      </c>
      <c r="P65" s="1" t="str">
        <f t="shared" si="9"/>
        <v>Upix® Compatible Genus LCD/LED TV Remotes</v>
      </c>
      <c r="Q65" s="1" t="str">
        <f t="shared" si="10"/>
        <v>Get Any Upix® Compatible Genus LCD/LED TV Remotes Easily at Your Door-steps</v>
      </c>
      <c r="R65" s="1" t="s">
        <v>643</v>
      </c>
      <c r="S65" s="4" t="str">
        <f t="shared" si="11"/>
        <v>Upix® Compatible Genus LCD/LED TV Remotes</v>
      </c>
      <c r="T65" s="1" t="s">
        <v>644</v>
      </c>
    </row>
    <row r="66" spans="1:20" x14ac:dyDescent="0.3">
      <c r="A66" s="4">
        <v>65</v>
      </c>
      <c r="B66" s="4" t="s">
        <v>419</v>
      </c>
      <c r="C66" s="4" t="s">
        <v>22</v>
      </c>
      <c r="D66" s="4" t="str">
        <f t="shared" ref="D66:D97" si="15">C66&amp;" "&amp;B66</f>
        <v>Haier LCD/LED TV</v>
      </c>
      <c r="E66" s="5" t="str">
        <f t="shared" si="1"/>
        <v>Haier LCD/LED TV Remotes</v>
      </c>
      <c r="F66" s="4" t="str">
        <f t="shared" si="2"/>
        <v>Haier LCD/LED TV Remote Control</v>
      </c>
      <c r="G66" s="4" t="str">
        <f t="shared" si="3"/>
        <v>Remote for Haier LCD/LED TV</v>
      </c>
      <c r="H66" s="4" t="str">
        <f t="shared" si="13"/>
        <v>Haier LCD Remote</v>
      </c>
      <c r="I66" s="4" t="str">
        <f t="shared" si="5"/>
        <v>LCD/LED TV Remote for Haier LCD/LED TV</v>
      </c>
      <c r="J66" s="4" t="str">
        <f t="shared" si="14"/>
        <v>Haier LED Remote</v>
      </c>
      <c r="K66" s="4" t="s">
        <v>646</v>
      </c>
      <c r="L66" s="4" t="s">
        <v>646</v>
      </c>
      <c r="M66" s="4" t="s">
        <v>1189</v>
      </c>
      <c r="N66" s="4" t="str">
        <f t="shared" si="7"/>
        <v>Compatible Haier LCD/LED TV Remotes</v>
      </c>
      <c r="O66" s="1" t="str">
        <f t="shared" si="8"/>
        <v>Get Any Compatible Haier LCD/LED TV Remotes Easily at Your Door-steps</v>
      </c>
      <c r="P66" s="1" t="str">
        <f t="shared" si="9"/>
        <v>Upix® Compatible Haier LCD/LED TV Remotes</v>
      </c>
      <c r="Q66" s="1" t="str">
        <f t="shared" si="10"/>
        <v>Get Any Upix® Compatible Haier LCD/LED TV Remotes Easily at Your Door-steps</v>
      </c>
      <c r="R66" s="1" t="s">
        <v>643</v>
      </c>
      <c r="S66" s="4" t="str">
        <f t="shared" si="11"/>
        <v>Upix® Compatible Haier LCD/LED TV Remotes</v>
      </c>
      <c r="T66" s="1" t="s">
        <v>644</v>
      </c>
    </row>
    <row r="67" spans="1:20" x14ac:dyDescent="0.3">
      <c r="A67" s="4">
        <v>66</v>
      </c>
      <c r="B67" s="4" t="s">
        <v>419</v>
      </c>
      <c r="C67" s="4" t="s">
        <v>39</v>
      </c>
      <c r="D67" s="4" t="str">
        <f t="shared" si="15"/>
        <v>Intex LCD/LED TV</v>
      </c>
      <c r="E67" s="5" t="str">
        <f t="shared" ref="E67:E130" si="16">D67&amp;" Remotes"</f>
        <v>Intex LCD/LED TV Remotes</v>
      </c>
      <c r="F67" s="4" t="str">
        <f t="shared" ref="F67:F130" si="17">D67&amp;" Remote Control"</f>
        <v>Intex LCD/LED TV Remote Control</v>
      </c>
      <c r="G67" s="4" t="str">
        <f t="shared" ref="G67:G130" si="18">"Remote for "&amp;D67</f>
        <v>Remote for Intex LCD/LED TV</v>
      </c>
      <c r="H67" s="4" t="str">
        <f t="shared" si="13"/>
        <v>Intex LCD Remote</v>
      </c>
      <c r="I67" s="4" t="str">
        <f t="shared" ref="I67:I130" si="19">B67&amp;" Remote for "&amp;D67</f>
        <v>LCD/LED TV Remote for Intex LCD/LED TV</v>
      </c>
      <c r="J67" s="4" t="str">
        <f t="shared" si="14"/>
        <v>Intex LED Remote</v>
      </c>
      <c r="K67" s="4" t="s">
        <v>646</v>
      </c>
      <c r="L67" s="4" t="s">
        <v>646</v>
      </c>
      <c r="M67" s="4" t="s">
        <v>1190</v>
      </c>
      <c r="N67" s="4" t="str">
        <f t="shared" ref="N67:N130" si="20">"Compatible "&amp;E67</f>
        <v>Compatible Intex LCD/LED TV Remotes</v>
      </c>
      <c r="O67" s="1" t="str">
        <f t="shared" ref="O67:O130" si="21">"Get Any "&amp;N67&amp;" Easily at Your Door-steps"</f>
        <v>Get Any Compatible Intex LCD/LED TV Remotes Easily at Your Door-steps</v>
      </c>
      <c r="P67" s="1" t="str">
        <f t="shared" ref="P67:P130" si="22">"Upix® "&amp;N67</f>
        <v>Upix® Compatible Intex LCD/LED TV Remotes</v>
      </c>
      <c r="Q67" s="1" t="str">
        <f t="shared" ref="Q67:Q130" si="23">"Get Any "&amp;P67&amp;" Easily at Your Door-steps"</f>
        <v>Get Any Upix® Compatible Intex LCD/LED TV Remotes Easily at Your Door-steps</v>
      </c>
      <c r="R67" s="1" t="s">
        <v>643</v>
      </c>
      <c r="S67" s="4" t="str">
        <f t="shared" ref="S67:S130" si="24">"Upix® "&amp;N67</f>
        <v>Upix® Compatible Intex LCD/LED TV Remotes</v>
      </c>
      <c r="T67" s="1" t="s">
        <v>644</v>
      </c>
    </row>
    <row r="68" spans="1:20" x14ac:dyDescent="0.3">
      <c r="A68" s="4">
        <v>67</v>
      </c>
      <c r="B68" s="4" t="s">
        <v>419</v>
      </c>
      <c r="C68" s="4" t="s">
        <v>2</v>
      </c>
      <c r="D68" s="4" t="str">
        <f t="shared" si="15"/>
        <v>Llyod LCD/LED TV</v>
      </c>
      <c r="E68" s="5" t="str">
        <f t="shared" si="16"/>
        <v>Llyod LCD/LED TV Remotes</v>
      </c>
      <c r="F68" s="4" t="str">
        <f t="shared" si="17"/>
        <v>Llyod LCD/LED TV Remote Control</v>
      </c>
      <c r="G68" s="4" t="str">
        <f t="shared" si="18"/>
        <v>Remote for Llyod LCD/LED TV</v>
      </c>
      <c r="H68" s="4" t="str">
        <f t="shared" si="13"/>
        <v>Llyod LCD Remote</v>
      </c>
      <c r="I68" s="4" t="str">
        <f t="shared" si="19"/>
        <v>LCD/LED TV Remote for Llyod LCD/LED TV</v>
      </c>
      <c r="J68" s="4" t="str">
        <f t="shared" si="14"/>
        <v>Llyod LED Remote</v>
      </c>
      <c r="K68" s="4" t="s">
        <v>646</v>
      </c>
      <c r="M68" s="4" t="s">
        <v>1191</v>
      </c>
      <c r="N68" s="4" t="str">
        <f t="shared" si="20"/>
        <v>Compatible Llyod LCD/LED TV Remotes</v>
      </c>
      <c r="O68" s="1" t="str">
        <f t="shared" si="21"/>
        <v>Get Any Compatible Llyod LCD/LED TV Remotes Easily at Your Door-steps</v>
      </c>
      <c r="P68" s="1" t="str">
        <f t="shared" si="22"/>
        <v>Upix® Compatible Llyod LCD/LED TV Remotes</v>
      </c>
      <c r="Q68" s="1" t="str">
        <f t="shared" si="23"/>
        <v>Get Any Upix® Compatible Llyod LCD/LED TV Remotes Easily at Your Door-steps</v>
      </c>
      <c r="R68" s="1" t="s">
        <v>643</v>
      </c>
      <c r="S68" s="4" t="str">
        <f t="shared" si="24"/>
        <v>Upix® Compatible Llyod LCD/LED TV Remotes</v>
      </c>
      <c r="T68" s="1" t="s">
        <v>644</v>
      </c>
    </row>
    <row r="69" spans="1:20" x14ac:dyDescent="0.3">
      <c r="A69" s="4">
        <v>68</v>
      </c>
      <c r="B69" s="4" t="s">
        <v>419</v>
      </c>
      <c r="C69" s="4" t="s">
        <v>48</v>
      </c>
      <c r="D69" s="4" t="str">
        <f t="shared" si="15"/>
        <v>Micromax LCD/LED TV</v>
      </c>
      <c r="E69" s="5" t="str">
        <f t="shared" si="16"/>
        <v>Micromax LCD/LED TV Remotes</v>
      </c>
      <c r="F69" s="4" t="str">
        <f t="shared" si="17"/>
        <v>Micromax LCD/LED TV Remote Control</v>
      </c>
      <c r="G69" s="4" t="str">
        <f t="shared" si="18"/>
        <v>Remote for Micromax LCD/LED TV</v>
      </c>
      <c r="H69" s="4" t="str">
        <f t="shared" si="13"/>
        <v>Micromax LCD Remote</v>
      </c>
      <c r="I69" s="4" t="str">
        <f t="shared" si="19"/>
        <v>LCD/LED TV Remote for Micromax LCD/LED TV</v>
      </c>
      <c r="J69" s="4" t="str">
        <f t="shared" si="14"/>
        <v>Micromax LED Remote</v>
      </c>
      <c r="K69" s="4" t="s">
        <v>646</v>
      </c>
      <c r="L69" s="4" t="s">
        <v>646</v>
      </c>
      <c r="M69" s="4" t="s">
        <v>1192</v>
      </c>
      <c r="N69" s="4" t="str">
        <f t="shared" si="20"/>
        <v>Compatible Micromax LCD/LED TV Remotes</v>
      </c>
      <c r="O69" s="1" t="str">
        <f t="shared" si="21"/>
        <v>Get Any Compatible Micromax LCD/LED TV Remotes Easily at Your Door-steps</v>
      </c>
      <c r="P69" s="1" t="str">
        <f t="shared" si="22"/>
        <v>Upix® Compatible Micromax LCD/LED TV Remotes</v>
      </c>
      <c r="Q69" s="1" t="str">
        <f t="shared" si="23"/>
        <v>Get Any Upix® Compatible Micromax LCD/LED TV Remotes Easily at Your Door-steps</v>
      </c>
      <c r="R69" s="1" t="s">
        <v>643</v>
      </c>
      <c r="S69" s="4" t="str">
        <f t="shared" si="24"/>
        <v>Upix® Compatible Micromax LCD/LED TV Remotes</v>
      </c>
      <c r="T69" s="1" t="s">
        <v>644</v>
      </c>
    </row>
    <row r="70" spans="1:20" x14ac:dyDescent="0.3">
      <c r="A70" s="4">
        <v>69</v>
      </c>
      <c r="B70" s="4" t="s">
        <v>419</v>
      </c>
      <c r="C70" s="4" t="s">
        <v>49</v>
      </c>
      <c r="D70" s="4" t="str">
        <f t="shared" si="15"/>
        <v>Mitashi LCD/LED TV</v>
      </c>
      <c r="E70" s="5" t="str">
        <f t="shared" si="16"/>
        <v>Mitashi LCD/LED TV Remotes</v>
      </c>
      <c r="F70" s="4" t="str">
        <f t="shared" si="17"/>
        <v>Mitashi LCD/LED TV Remote Control</v>
      </c>
      <c r="G70" s="4" t="str">
        <f t="shared" si="18"/>
        <v>Remote for Mitashi LCD/LED TV</v>
      </c>
      <c r="H70" s="4" t="str">
        <f t="shared" si="13"/>
        <v>Mitashi LCD Remote</v>
      </c>
      <c r="I70" s="4" t="str">
        <f t="shared" si="19"/>
        <v>LCD/LED TV Remote for Mitashi LCD/LED TV</v>
      </c>
      <c r="J70" s="4" t="str">
        <f t="shared" si="14"/>
        <v>Mitashi LED Remote</v>
      </c>
      <c r="K70" s="4" t="s">
        <v>646</v>
      </c>
      <c r="M70" s="4" t="s">
        <v>1193</v>
      </c>
      <c r="N70" s="4" t="str">
        <f t="shared" si="20"/>
        <v>Compatible Mitashi LCD/LED TV Remotes</v>
      </c>
      <c r="O70" s="1" t="str">
        <f t="shared" si="21"/>
        <v>Get Any Compatible Mitashi LCD/LED TV Remotes Easily at Your Door-steps</v>
      </c>
      <c r="P70" s="1" t="str">
        <f t="shared" si="22"/>
        <v>Upix® Compatible Mitashi LCD/LED TV Remotes</v>
      </c>
      <c r="Q70" s="1" t="str">
        <f t="shared" si="23"/>
        <v>Get Any Upix® Compatible Mitashi LCD/LED TV Remotes Easily at Your Door-steps</v>
      </c>
      <c r="R70" s="1" t="s">
        <v>643</v>
      </c>
      <c r="S70" s="4" t="str">
        <f t="shared" si="24"/>
        <v>Upix® Compatible Mitashi LCD/LED TV Remotes</v>
      </c>
      <c r="T70" s="1" t="s">
        <v>644</v>
      </c>
    </row>
    <row r="71" spans="1:20" x14ac:dyDescent="0.3">
      <c r="A71" s="4">
        <v>70</v>
      </c>
      <c r="B71" s="4" t="s">
        <v>419</v>
      </c>
      <c r="C71" s="4" t="s">
        <v>11</v>
      </c>
      <c r="D71" s="4" t="str">
        <f t="shared" si="15"/>
        <v>Onida LCD/LED TV</v>
      </c>
      <c r="E71" s="5" t="str">
        <f t="shared" si="16"/>
        <v>Onida LCD/LED TV Remotes</v>
      </c>
      <c r="F71" s="4" t="str">
        <f t="shared" si="17"/>
        <v>Onida LCD/LED TV Remote Control</v>
      </c>
      <c r="G71" s="4" t="str">
        <f t="shared" si="18"/>
        <v>Remote for Onida LCD/LED TV</v>
      </c>
      <c r="H71" s="4" t="str">
        <f t="shared" si="13"/>
        <v>Onida LCD Remote</v>
      </c>
      <c r="I71" s="4" t="str">
        <f t="shared" si="19"/>
        <v>LCD/LED TV Remote for Onida LCD/LED TV</v>
      </c>
      <c r="J71" s="4" t="str">
        <f t="shared" si="14"/>
        <v>Onida LED Remote</v>
      </c>
      <c r="K71" s="4" t="s">
        <v>646</v>
      </c>
      <c r="L71" s="4" t="s">
        <v>646</v>
      </c>
      <c r="M71" s="4" t="s">
        <v>1224</v>
      </c>
      <c r="N71" s="4" t="str">
        <f t="shared" si="20"/>
        <v>Compatible Onida LCD/LED TV Remotes</v>
      </c>
      <c r="O71" s="1" t="str">
        <f t="shared" si="21"/>
        <v>Get Any Compatible Onida LCD/LED TV Remotes Easily at Your Door-steps</v>
      </c>
      <c r="P71" s="1" t="str">
        <f t="shared" si="22"/>
        <v>Upix® Compatible Onida LCD/LED TV Remotes</v>
      </c>
      <c r="Q71" s="1" t="str">
        <f t="shared" si="23"/>
        <v>Get Any Upix® Compatible Onida LCD/LED TV Remotes Easily at Your Door-steps</v>
      </c>
      <c r="R71" s="1" t="s">
        <v>643</v>
      </c>
      <c r="S71" s="4" t="str">
        <f t="shared" si="24"/>
        <v>Upix® Compatible Onida LCD/LED TV Remotes</v>
      </c>
      <c r="T71" s="1" t="s">
        <v>644</v>
      </c>
    </row>
    <row r="72" spans="1:20" x14ac:dyDescent="0.3">
      <c r="A72" s="4">
        <v>71</v>
      </c>
      <c r="B72" s="4" t="s">
        <v>419</v>
      </c>
      <c r="C72" s="4" t="s">
        <v>50</v>
      </c>
      <c r="D72" s="4" t="str">
        <f t="shared" si="15"/>
        <v>Philips LCD/LED TV</v>
      </c>
      <c r="E72" s="5" t="str">
        <f t="shared" si="16"/>
        <v>Philips LCD/LED TV Remotes</v>
      </c>
      <c r="F72" s="4" t="str">
        <f t="shared" si="17"/>
        <v>Philips LCD/LED TV Remote Control</v>
      </c>
      <c r="G72" s="4" t="str">
        <f t="shared" si="18"/>
        <v>Remote for Philips LCD/LED TV</v>
      </c>
      <c r="H72" s="4" t="str">
        <f t="shared" si="13"/>
        <v>Philips LCD Remote</v>
      </c>
      <c r="I72" s="4" t="str">
        <f t="shared" si="19"/>
        <v>LCD/LED TV Remote for Philips LCD/LED TV</v>
      </c>
      <c r="J72" s="4" t="str">
        <f t="shared" si="14"/>
        <v>Philips LED Remote</v>
      </c>
      <c r="K72" s="4" t="s">
        <v>646</v>
      </c>
      <c r="L72" s="4" t="s">
        <v>646</v>
      </c>
      <c r="M72" s="4" t="s">
        <v>1194</v>
      </c>
      <c r="N72" s="4" t="str">
        <f t="shared" si="20"/>
        <v>Compatible Philips LCD/LED TV Remotes</v>
      </c>
      <c r="O72" s="1" t="str">
        <f t="shared" si="21"/>
        <v>Get Any Compatible Philips LCD/LED TV Remotes Easily at Your Door-steps</v>
      </c>
      <c r="P72" s="1" t="str">
        <f t="shared" si="22"/>
        <v>Upix® Compatible Philips LCD/LED TV Remotes</v>
      </c>
      <c r="Q72" s="1" t="str">
        <f t="shared" si="23"/>
        <v>Get Any Upix® Compatible Philips LCD/LED TV Remotes Easily at Your Door-steps</v>
      </c>
      <c r="R72" s="1" t="s">
        <v>643</v>
      </c>
      <c r="S72" s="4" t="str">
        <f t="shared" si="24"/>
        <v>Upix® Compatible Philips LCD/LED TV Remotes</v>
      </c>
      <c r="T72" s="1" t="s">
        <v>644</v>
      </c>
    </row>
    <row r="73" spans="1:20" x14ac:dyDescent="0.3">
      <c r="A73" s="4">
        <v>72</v>
      </c>
      <c r="B73" s="4" t="s">
        <v>419</v>
      </c>
      <c r="C73" s="4" t="s">
        <v>32</v>
      </c>
      <c r="D73" s="4" t="str">
        <f t="shared" si="15"/>
        <v>Reconnect LCD/LED TV</v>
      </c>
      <c r="E73" s="5" t="str">
        <f t="shared" si="16"/>
        <v>Reconnect LCD/LED TV Remotes</v>
      </c>
      <c r="F73" s="4" t="str">
        <f t="shared" si="17"/>
        <v>Reconnect LCD/LED TV Remote Control</v>
      </c>
      <c r="G73" s="4" t="str">
        <f t="shared" si="18"/>
        <v>Remote for Reconnect LCD/LED TV</v>
      </c>
      <c r="H73" s="4" t="str">
        <f t="shared" si="13"/>
        <v>Reconnect LCD Remote</v>
      </c>
      <c r="I73" s="4" t="str">
        <f t="shared" si="19"/>
        <v>LCD/LED TV Remote for Reconnect LCD/LED TV</v>
      </c>
      <c r="J73" s="4" t="str">
        <f t="shared" si="14"/>
        <v>Reconnect LED Remote</v>
      </c>
      <c r="K73" s="4" t="s">
        <v>646</v>
      </c>
      <c r="M73" s="4" t="s">
        <v>1195</v>
      </c>
      <c r="N73" s="4" t="str">
        <f t="shared" si="20"/>
        <v>Compatible Reconnect LCD/LED TV Remotes</v>
      </c>
      <c r="O73" s="1" t="str">
        <f t="shared" si="21"/>
        <v>Get Any Compatible Reconnect LCD/LED TV Remotes Easily at Your Door-steps</v>
      </c>
      <c r="P73" s="1" t="str">
        <f t="shared" si="22"/>
        <v>Upix® Compatible Reconnect LCD/LED TV Remotes</v>
      </c>
      <c r="Q73" s="1" t="str">
        <f t="shared" si="23"/>
        <v>Get Any Upix® Compatible Reconnect LCD/LED TV Remotes Easily at Your Door-steps</v>
      </c>
      <c r="R73" s="1" t="s">
        <v>643</v>
      </c>
      <c r="S73" s="4" t="str">
        <f t="shared" si="24"/>
        <v>Upix® Compatible Reconnect LCD/LED TV Remotes</v>
      </c>
      <c r="T73" s="1" t="s">
        <v>644</v>
      </c>
    </row>
    <row r="74" spans="1:20" x14ac:dyDescent="0.3">
      <c r="A74" s="4">
        <v>73</v>
      </c>
      <c r="B74" s="4" t="s">
        <v>419</v>
      </c>
      <c r="C74" s="4" t="s">
        <v>33</v>
      </c>
      <c r="D74" s="4" t="str">
        <f t="shared" si="15"/>
        <v>Sharp LCD/LED TV</v>
      </c>
      <c r="E74" s="5" t="str">
        <f t="shared" si="16"/>
        <v>Sharp LCD/LED TV Remotes</v>
      </c>
      <c r="F74" s="4" t="str">
        <f t="shared" si="17"/>
        <v>Sharp LCD/LED TV Remote Control</v>
      </c>
      <c r="G74" s="4" t="str">
        <f t="shared" si="18"/>
        <v>Remote for Sharp LCD/LED TV</v>
      </c>
      <c r="H74" s="4" t="str">
        <f t="shared" si="13"/>
        <v>Sharp LCD Remote</v>
      </c>
      <c r="I74" s="4" t="str">
        <f t="shared" si="19"/>
        <v>LCD/LED TV Remote for Sharp LCD/LED TV</v>
      </c>
      <c r="J74" s="4" t="str">
        <f t="shared" si="14"/>
        <v>Sharp LED Remote</v>
      </c>
      <c r="K74" s="4" t="s">
        <v>646</v>
      </c>
      <c r="M74" s="4" t="s">
        <v>1196</v>
      </c>
      <c r="N74" s="4" t="str">
        <f t="shared" si="20"/>
        <v>Compatible Sharp LCD/LED TV Remotes</v>
      </c>
      <c r="O74" s="1" t="str">
        <f t="shared" si="21"/>
        <v>Get Any Compatible Sharp LCD/LED TV Remotes Easily at Your Door-steps</v>
      </c>
      <c r="P74" s="1" t="str">
        <f t="shared" si="22"/>
        <v>Upix® Compatible Sharp LCD/LED TV Remotes</v>
      </c>
      <c r="Q74" s="1" t="str">
        <f t="shared" si="23"/>
        <v>Get Any Upix® Compatible Sharp LCD/LED TV Remotes Easily at Your Door-steps</v>
      </c>
      <c r="R74" s="1" t="s">
        <v>643</v>
      </c>
      <c r="S74" s="4" t="str">
        <f t="shared" si="24"/>
        <v>Upix® Compatible Sharp LCD/LED TV Remotes</v>
      </c>
      <c r="T74" s="1" t="s">
        <v>644</v>
      </c>
    </row>
    <row r="75" spans="1:20" x14ac:dyDescent="0.3">
      <c r="A75" s="4">
        <v>74</v>
      </c>
      <c r="B75" s="4" t="s">
        <v>419</v>
      </c>
      <c r="C75" s="5" t="s">
        <v>35</v>
      </c>
      <c r="D75" s="4" t="str">
        <f t="shared" si="15"/>
        <v>Toshiba LCD/LED TV</v>
      </c>
      <c r="E75" s="5" t="str">
        <f t="shared" si="16"/>
        <v>Toshiba LCD/LED TV Remotes</v>
      </c>
      <c r="F75" s="4" t="str">
        <f t="shared" si="17"/>
        <v>Toshiba LCD/LED TV Remote Control</v>
      </c>
      <c r="G75" s="4" t="str">
        <f t="shared" si="18"/>
        <v>Remote for Toshiba LCD/LED TV</v>
      </c>
      <c r="H75" s="4" t="str">
        <f t="shared" si="13"/>
        <v>Toshiba LCD Remote</v>
      </c>
      <c r="I75" s="4" t="str">
        <f t="shared" si="19"/>
        <v>LCD/LED TV Remote for Toshiba LCD/LED TV</v>
      </c>
      <c r="J75" s="4" t="str">
        <f t="shared" si="14"/>
        <v>Toshiba LED Remote</v>
      </c>
      <c r="K75" s="4" t="s">
        <v>646</v>
      </c>
      <c r="L75" s="4" t="s">
        <v>646</v>
      </c>
      <c r="M75" s="4" t="s">
        <v>1197</v>
      </c>
      <c r="N75" s="4" t="str">
        <f t="shared" si="20"/>
        <v>Compatible Toshiba LCD/LED TV Remotes</v>
      </c>
      <c r="O75" s="1" t="str">
        <f t="shared" si="21"/>
        <v>Get Any Compatible Toshiba LCD/LED TV Remotes Easily at Your Door-steps</v>
      </c>
      <c r="P75" s="1" t="str">
        <f t="shared" si="22"/>
        <v>Upix® Compatible Toshiba LCD/LED TV Remotes</v>
      </c>
      <c r="Q75" s="1" t="str">
        <f t="shared" si="23"/>
        <v>Get Any Upix® Compatible Toshiba LCD/LED TV Remotes Easily at Your Door-steps</v>
      </c>
      <c r="R75" s="1" t="s">
        <v>643</v>
      </c>
      <c r="S75" s="4" t="str">
        <f t="shared" si="24"/>
        <v>Upix® Compatible Toshiba LCD/LED TV Remotes</v>
      </c>
      <c r="T75" s="1" t="s">
        <v>644</v>
      </c>
    </row>
    <row r="76" spans="1:20" x14ac:dyDescent="0.3">
      <c r="A76" s="4">
        <v>75</v>
      </c>
      <c r="B76" s="4" t="s">
        <v>419</v>
      </c>
      <c r="C76" s="4" t="s">
        <v>6</v>
      </c>
      <c r="D76" s="4" t="str">
        <f t="shared" si="15"/>
        <v>Godrej LCD/LED TV</v>
      </c>
      <c r="E76" s="5" t="str">
        <f t="shared" si="16"/>
        <v>Godrej LCD/LED TV Remotes</v>
      </c>
      <c r="F76" s="4" t="str">
        <f t="shared" si="17"/>
        <v>Godrej LCD/LED TV Remote Control</v>
      </c>
      <c r="G76" s="4" t="str">
        <f t="shared" si="18"/>
        <v>Remote for Godrej LCD/LED TV</v>
      </c>
      <c r="H76" s="4" t="str">
        <f t="shared" si="13"/>
        <v>Godrej LCD Remote</v>
      </c>
      <c r="I76" s="4" t="str">
        <f t="shared" si="19"/>
        <v>LCD/LED TV Remote for Godrej LCD/LED TV</v>
      </c>
      <c r="J76" s="4" t="str">
        <f t="shared" si="14"/>
        <v>Godrej LED Remote</v>
      </c>
      <c r="K76" s="4" t="s">
        <v>646</v>
      </c>
      <c r="M76" s="4" t="s">
        <v>1198</v>
      </c>
      <c r="N76" s="4" t="str">
        <f t="shared" si="20"/>
        <v>Compatible Godrej LCD/LED TV Remotes</v>
      </c>
      <c r="O76" s="1" t="str">
        <f t="shared" si="21"/>
        <v>Get Any Compatible Godrej LCD/LED TV Remotes Easily at Your Door-steps</v>
      </c>
      <c r="P76" s="1" t="str">
        <f t="shared" si="22"/>
        <v>Upix® Compatible Godrej LCD/LED TV Remotes</v>
      </c>
      <c r="Q76" s="1" t="str">
        <f t="shared" si="23"/>
        <v>Get Any Upix® Compatible Godrej LCD/LED TV Remotes Easily at Your Door-steps</v>
      </c>
      <c r="R76" s="1" t="s">
        <v>643</v>
      </c>
      <c r="S76" s="4" t="str">
        <f t="shared" si="24"/>
        <v>Upix® Compatible Godrej LCD/LED TV Remotes</v>
      </c>
      <c r="T76" s="1" t="s">
        <v>644</v>
      </c>
    </row>
    <row r="77" spans="1:20" x14ac:dyDescent="0.3">
      <c r="A77" s="4">
        <v>76</v>
      </c>
      <c r="B77" s="4" t="s">
        <v>419</v>
      </c>
      <c r="C77" s="4" t="s">
        <v>14</v>
      </c>
      <c r="D77" s="4" t="str">
        <f t="shared" si="15"/>
        <v>Hyundai LCD/LED TV</v>
      </c>
      <c r="E77" s="5" t="str">
        <f t="shared" si="16"/>
        <v>Hyundai LCD/LED TV Remotes</v>
      </c>
      <c r="F77" s="4" t="str">
        <f t="shared" si="17"/>
        <v>Hyundai LCD/LED TV Remote Control</v>
      </c>
      <c r="G77" s="4" t="str">
        <f t="shared" si="18"/>
        <v>Remote for Hyundai LCD/LED TV</v>
      </c>
      <c r="H77" s="4" t="str">
        <f t="shared" si="13"/>
        <v>Hyundai LCD Remote</v>
      </c>
      <c r="I77" s="4" t="str">
        <f t="shared" si="19"/>
        <v>LCD/LED TV Remote for Hyundai LCD/LED TV</v>
      </c>
      <c r="J77" s="4" t="str">
        <f t="shared" si="14"/>
        <v>Hyundai LED Remote</v>
      </c>
      <c r="K77" s="4" t="s">
        <v>646</v>
      </c>
      <c r="M77" s="4" t="s">
        <v>1199</v>
      </c>
      <c r="N77" s="4" t="str">
        <f t="shared" si="20"/>
        <v>Compatible Hyundai LCD/LED TV Remotes</v>
      </c>
      <c r="O77" s="1" t="str">
        <f t="shared" si="21"/>
        <v>Get Any Compatible Hyundai LCD/LED TV Remotes Easily at Your Door-steps</v>
      </c>
      <c r="P77" s="1" t="str">
        <f t="shared" si="22"/>
        <v>Upix® Compatible Hyundai LCD/LED TV Remotes</v>
      </c>
      <c r="Q77" s="1" t="str">
        <f t="shared" si="23"/>
        <v>Get Any Upix® Compatible Hyundai LCD/LED TV Remotes Easily at Your Door-steps</v>
      </c>
      <c r="R77" s="1" t="s">
        <v>643</v>
      </c>
      <c r="S77" s="4" t="str">
        <f t="shared" si="24"/>
        <v>Upix® Compatible Hyundai LCD/LED TV Remotes</v>
      </c>
      <c r="T77" s="1" t="s">
        <v>644</v>
      </c>
    </row>
    <row r="78" spans="1:20" x14ac:dyDescent="0.3">
      <c r="A78" s="4">
        <v>77</v>
      </c>
      <c r="B78" s="4" t="s">
        <v>1344</v>
      </c>
      <c r="C78" s="4" t="s">
        <v>34</v>
      </c>
      <c r="D78" s="4" t="str">
        <f t="shared" si="15"/>
        <v>TCL Smart TV LCD/LED</v>
      </c>
      <c r="E78" s="5" t="str">
        <f t="shared" si="16"/>
        <v>TCL Smart TV LCD/LED Remotes</v>
      </c>
      <c r="F78" s="4" t="str">
        <f t="shared" si="17"/>
        <v>TCL Smart TV LCD/LED Remote Control</v>
      </c>
      <c r="G78" s="4" t="str">
        <f t="shared" si="18"/>
        <v>Remote for TCL Smart TV LCD/LED</v>
      </c>
      <c r="H78" s="4" t="str">
        <f>C78&amp;" Smart TV Remote"</f>
        <v>TCL Smart TV Remote</v>
      </c>
      <c r="I78" s="4" t="str">
        <f t="shared" si="19"/>
        <v>Smart TV LCD/LED Remote for TCL Smart TV LCD/LED</v>
      </c>
      <c r="J78" s="4" t="str">
        <f>C78&amp;" Smart Remote"</f>
        <v>TCL Smart Remote</v>
      </c>
      <c r="K78" s="4" t="s">
        <v>646</v>
      </c>
      <c r="M78" s="4" t="s">
        <v>1200</v>
      </c>
      <c r="N78" s="4" t="str">
        <f t="shared" si="20"/>
        <v>Compatible TCL Smart TV LCD/LED Remotes</v>
      </c>
      <c r="O78" s="1" t="str">
        <f t="shared" si="21"/>
        <v>Get Any Compatible TCL Smart TV LCD/LED Remotes Easily at Your Door-steps</v>
      </c>
      <c r="P78" s="1" t="str">
        <f t="shared" si="22"/>
        <v>Upix® Compatible TCL Smart TV LCD/LED Remotes</v>
      </c>
      <c r="Q78" s="1" t="str">
        <f t="shared" si="23"/>
        <v>Get Any Upix® Compatible TCL Smart TV LCD/LED Remotes Easily at Your Door-steps</v>
      </c>
      <c r="R78" s="1" t="s">
        <v>643</v>
      </c>
      <c r="S78" s="4" t="str">
        <f t="shared" si="24"/>
        <v>Upix® Compatible TCL Smart TV LCD/LED Remotes</v>
      </c>
      <c r="T78" s="1" t="s">
        <v>644</v>
      </c>
    </row>
    <row r="79" spans="1:20" x14ac:dyDescent="0.3">
      <c r="A79" s="4">
        <v>78</v>
      </c>
      <c r="B79" s="4" t="s">
        <v>419</v>
      </c>
      <c r="C79" s="4" t="s">
        <v>394</v>
      </c>
      <c r="D79" s="4" t="str">
        <f t="shared" si="15"/>
        <v>Mi LCD/LED TV</v>
      </c>
      <c r="E79" s="5" t="str">
        <f t="shared" si="16"/>
        <v>Mi LCD/LED TV Remotes</v>
      </c>
      <c r="F79" s="4" t="str">
        <f t="shared" si="17"/>
        <v>Mi LCD/LED TV Remote Control</v>
      </c>
      <c r="G79" s="4" t="str">
        <f t="shared" si="18"/>
        <v>Remote for Mi LCD/LED TV</v>
      </c>
      <c r="H79" s="4" t="str">
        <f t="shared" ref="H79:H80" si="25">C79&amp;" LCD Remote"</f>
        <v>Mi LCD Remote</v>
      </c>
      <c r="I79" s="4" t="str">
        <f t="shared" si="19"/>
        <v>LCD/LED TV Remote for Mi LCD/LED TV</v>
      </c>
      <c r="J79" s="4" t="str">
        <f t="shared" ref="J79:J80" si="26">C79&amp;" LED Remote"</f>
        <v>Mi LED Remote</v>
      </c>
      <c r="K79" s="4" t="s">
        <v>646</v>
      </c>
      <c r="M79" s="4" t="s">
        <v>1201</v>
      </c>
      <c r="N79" s="4" t="str">
        <f t="shared" si="20"/>
        <v>Compatible Mi LCD/LED TV Remotes</v>
      </c>
      <c r="O79" s="1" t="str">
        <f t="shared" si="21"/>
        <v>Get Any Compatible Mi LCD/LED TV Remotes Easily at Your Door-steps</v>
      </c>
      <c r="P79" s="1" t="str">
        <f t="shared" si="22"/>
        <v>Upix® Compatible Mi LCD/LED TV Remotes</v>
      </c>
      <c r="Q79" s="1" t="str">
        <f t="shared" si="23"/>
        <v>Get Any Upix® Compatible Mi LCD/LED TV Remotes Easily at Your Door-steps</v>
      </c>
      <c r="R79" s="1" t="s">
        <v>643</v>
      </c>
      <c r="S79" s="4" t="str">
        <f t="shared" si="24"/>
        <v>Upix® Compatible Mi LCD/LED TV Remotes</v>
      </c>
      <c r="T79" s="1" t="s">
        <v>644</v>
      </c>
    </row>
    <row r="80" spans="1:20" x14ac:dyDescent="0.3">
      <c r="A80" s="4">
        <v>79</v>
      </c>
      <c r="B80" s="4" t="s">
        <v>419</v>
      </c>
      <c r="C80" s="4" t="s">
        <v>422</v>
      </c>
      <c r="D80" s="4" t="str">
        <f t="shared" si="15"/>
        <v>Hisense LCD/LED TV</v>
      </c>
      <c r="E80" s="5" t="str">
        <f t="shared" si="16"/>
        <v>Hisense LCD/LED TV Remotes</v>
      </c>
      <c r="F80" s="4" t="str">
        <f t="shared" si="17"/>
        <v>Hisense LCD/LED TV Remote Control</v>
      </c>
      <c r="G80" s="4" t="str">
        <f t="shared" si="18"/>
        <v>Remote for Hisense LCD/LED TV</v>
      </c>
      <c r="H80" s="4" t="str">
        <f t="shared" si="25"/>
        <v>Hisense LCD Remote</v>
      </c>
      <c r="I80" s="4" t="str">
        <f t="shared" si="19"/>
        <v>LCD/LED TV Remote for Hisense LCD/LED TV</v>
      </c>
      <c r="J80" s="4" t="str">
        <f t="shared" si="26"/>
        <v>Hisense LED Remote</v>
      </c>
      <c r="K80" s="4" t="s">
        <v>646</v>
      </c>
      <c r="M80" s="4" t="s">
        <v>1202</v>
      </c>
      <c r="N80" s="4" t="str">
        <f t="shared" si="20"/>
        <v>Compatible Hisense LCD/LED TV Remotes</v>
      </c>
      <c r="O80" s="1" t="str">
        <f t="shared" si="21"/>
        <v>Get Any Compatible Hisense LCD/LED TV Remotes Easily at Your Door-steps</v>
      </c>
      <c r="P80" s="1" t="str">
        <f t="shared" si="22"/>
        <v>Upix® Compatible Hisense LCD/LED TV Remotes</v>
      </c>
      <c r="Q80" s="1" t="str">
        <f t="shared" si="23"/>
        <v>Get Any Upix® Compatible Hisense LCD/LED TV Remotes Easily at Your Door-steps</v>
      </c>
      <c r="R80" s="1" t="s">
        <v>643</v>
      </c>
      <c r="S80" s="4" t="str">
        <f t="shared" si="24"/>
        <v>Upix® Compatible Hisense LCD/LED TV Remotes</v>
      </c>
      <c r="T80" s="1" t="s">
        <v>644</v>
      </c>
    </row>
    <row r="81" spans="1:20" x14ac:dyDescent="0.3">
      <c r="A81" s="4">
        <v>80</v>
      </c>
      <c r="B81" s="4" t="s">
        <v>1344</v>
      </c>
      <c r="C81" s="4" t="s">
        <v>633</v>
      </c>
      <c r="D81" s="4" t="str">
        <f t="shared" si="15"/>
        <v>Hom Smart TV LCD/LED</v>
      </c>
      <c r="E81" s="5" t="str">
        <f t="shared" si="16"/>
        <v>Hom Smart TV LCD/LED Remotes</v>
      </c>
      <c r="F81" s="4" t="str">
        <f t="shared" si="17"/>
        <v>Hom Smart TV LCD/LED Remote Control</v>
      </c>
      <c r="G81" s="4" t="str">
        <f t="shared" si="18"/>
        <v>Remote for Hom Smart TV LCD/LED</v>
      </c>
      <c r="H81" s="4" t="str">
        <f>C81&amp;" Smart TV Remote"</f>
        <v>Hom Smart TV Remote</v>
      </c>
      <c r="I81" s="4" t="str">
        <f t="shared" si="19"/>
        <v>Smart TV LCD/LED Remote for Hom Smart TV LCD/LED</v>
      </c>
      <c r="J81" s="4" t="str">
        <f>C81&amp;" Smart Remote"</f>
        <v>Hom Smart Remote</v>
      </c>
      <c r="K81" s="4" t="s">
        <v>646</v>
      </c>
      <c r="M81" s="4" t="s">
        <v>1203</v>
      </c>
      <c r="N81" s="4" t="str">
        <f t="shared" si="20"/>
        <v>Compatible Hom Smart TV LCD/LED Remotes</v>
      </c>
      <c r="O81" s="1" t="str">
        <f t="shared" si="21"/>
        <v>Get Any Compatible Hom Smart TV LCD/LED Remotes Easily at Your Door-steps</v>
      </c>
      <c r="P81" s="1" t="str">
        <f t="shared" si="22"/>
        <v>Upix® Compatible Hom Smart TV LCD/LED Remotes</v>
      </c>
      <c r="Q81" s="1" t="str">
        <f t="shared" si="23"/>
        <v>Get Any Upix® Compatible Hom Smart TV LCD/LED Remotes Easily at Your Door-steps</v>
      </c>
      <c r="R81" s="1" t="s">
        <v>643</v>
      </c>
      <c r="S81" s="4" t="str">
        <f t="shared" si="24"/>
        <v>Upix® Compatible Hom Smart TV LCD/LED Remotes</v>
      </c>
      <c r="T81" s="1" t="s">
        <v>644</v>
      </c>
    </row>
    <row r="82" spans="1:20" x14ac:dyDescent="0.3">
      <c r="A82" s="4">
        <v>81</v>
      </c>
      <c r="B82" s="4" t="s">
        <v>419</v>
      </c>
      <c r="C82" s="4" t="s">
        <v>570</v>
      </c>
      <c r="D82" s="4" t="str">
        <f t="shared" si="15"/>
        <v>Sanyo LCD/LED TV</v>
      </c>
      <c r="E82" s="5" t="str">
        <f t="shared" si="16"/>
        <v>Sanyo LCD/LED TV Remotes</v>
      </c>
      <c r="F82" s="4" t="str">
        <f t="shared" si="17"/>
        <v>Sanyo LCD/LED TV Remote Control</v>
      </c>
      <c r="G82" s="4" t="str">
        <f t="shared" si="18"/>
        <v>Remote for Sanyo LCD/LED TV</v>
      </c>
      <c r="H82" s="4" t="str">
        <f t="shared" ref="H82:H84" si="27">C82&amp;" LCD Remote"</f>
        <v>Sanyo LCD Remote</v>
      </c>
      <c r="I82" s="4" t="str">
        <f t="shared" si="19"/>
        <v>LCD/LED TV Remote for Sanyo LCD/LED TV</v>
      </c>
      <c r="J82" s="4" t="str">
        <f t="shared" ref="J82:J84" si="28">C82&amp;" LED Remote"</f>
        <v>Sanyo LED Remote</v>
      </c>
      <c r="K82" s="4" t="s">
        <v>646</v>
      </c>
      <c r="M82" s="4" t="s">
        <v>1204</v>
      </c>
      <c r="N82" s="4" t="str">
        <f t="shared" si="20"/>
        <v>Compatible Sanyo LCD/LED TV Remotes</v>
      </c>
      <c r="O82" s="1" t="str">
        <f t="shared" si="21"/>
        <v>Get Any Compatible Sanyo LCD/LED TV Remotes Easily at Your Door-steps</v>
      </c>
      <c r="P82" s="1" t="str">
        <f t="shared" si="22"/>
        <v>Upix® Compatible Sanyo LCD/LED TV Remotes</v>
      </c>
      <c r="Q82" s="1" t="str">
        <f t="shared" si="23"/>
        <v>Get Any Upix® Compatible Sanyo LCD/LED TV Remotes Easily at Your Door-steps</v>
      </c>
      <c r="R82" s="1" t="s">
        <v>643</v>
      </c>
      <c r="S82" s="4" t="str">
        <f t="shared" si="24"/>
        <v>Upix® Compatible Sanyo LCD/LED TV Remotes</v>
      </c>
      <c r="T82" s="1" t="s">
        <v>644</v>
      </c>
    </row>
    <row r="83" spans="1:20" x14ac:dyDescent="0.3">
      <c r="A83" s="4">
        <v>82</v>
      </c>
      <c r="B83" s="4" t="s">
        <v>419</v>
      </c>
      <c r="C83" s="4" t="s">
        <v>571</v>
      </c>
      <c r="D83" s="4" t="str">
        <f t="shared" si="15"/>
        <v>Thomson LCD/LED TV</v>
      </c>
      <c r="E83" s="5" t="str">
        <f t="shared" si="16"/>
        <v>Thomson LCD/LED TV Remotes</v>
      </c>
      <c r="F83" s="4" t="str">
        <f t="shared" si="17"/>
        <v>Thomson LCD/LED TV Remote Control</v>
      </c>
      <c r="G83" s="4" t="str">
        <f t="shared" si="18"/>
        <v>Remote for Thomson LCD/LED TV</v>
      </c>
      <c r="H83" s="4" t="str">
        <f t="shared" si="27"/>
        <v>Thomson LCD Remote</v>
      </c>
      <c r="I83" s="4" t="str">
        <f t="shared" si="19"/>
        <v>LCD/LED TV Remote for Thomson LCD/LED TV</v>
      </c>
      <c r="J83" s="4" t="str">
        <f t="shared" si="28"/>
        <v>Thomson LED Remote</v>
      </c>
      <c r="K83" s="4" t="s">
        <v>646</v>
      </c>
      <c r="M83" s="4" t="s">
        <v>1205</v>
      </c>
      <c r="N83" s="4" t="str">
        <f t="shared" si="20"/>
        <v>Compatible Thomson LCD/LED TV Remotes</v>
      </c>
      <c r="O83" s="1" t="str">
        <f t="shared" si="21"/>
        <v>Get Any Compatible Thomson LCD/LED TV Remotes Easily at Your Door-steps</v>
      </c>
      <c r="P83" s="1" t="str">
        <f t="shared" si="22"/>
        <v>Upix® Compatible Thomson LCD/LED TV Remotes</v>
      </c>
      <c r="Q83" s="1" t="str">
        <f t="shared" si="23"/>
        <v>Get Any Upix® Compatible Thomson LCD/LED TV Remotes Easily at Your Door-steps</v>
      </c>
      <c r="R83" s="1" t="s">
        <v>643</v>
      </c>
      <c r="S83" s="4" t="str">
        <f t="shared" si="24"/>
        <v>Upix® Compatible Thomson LCD/LED TV Remotes</v>
      </c>
      <c r="T83" s="1" t="s">
        <v>644</v>
      </c>
    </row>
    <row r="84" spans="1:20" x14ac:dyDescent="0.3">
      <c r="A84" s="4">
        <v>83</v>
      </c>
      <c r="B84" s="4" t="s">
        <v>419</v>
      </c>
      <c r="C84" s="4" t="s">
        <v>627</v>
      </c>
      <c r="D84" s="4" t="str">
        <f t="shared" si="15"/>
        <v>LE LCD/LED TV</v>
      </c>
      <c r="E84" s="5" t="str">
        <f t="shared" si="16"/>
        <v>LE LCD/LED TV Remotes</v>
      </c>
      <c r="F84" s="4" t="str">
        <f t="shared" si="17"/>
        <v>LE LCD/LED TV Remote Control</v>
      </c>
      <c r="G84" s="4" t="str">
        <f t="shared" si="18"/>
        <v>Remote for LE LCD/LED TV</v>
      </c>
      <c r="H84" s="4" t="str">
        <f t="shared" si="27"/>
        <v>LE LCD Remote</v>
      </c>
      <c r="I84" s="4" t="str">
        <f t="shared" si="19"/>
        <v>LCD/LED TV Remote for LE LCD/LED TV</v>
      </c>
      <c r="J84" s="4" t="str">
        <f t="shared" si="28"/>
        <v>LE LED Remote</v>
      </c>
      <c r="K84" s="4" t="s">
        <v>646</v>
      </c>
      <c r="M84" s="4" t="s">
        <v>1206</v>
      </c>
      <c r="N84" s="4" t="str">
        <f t="shared" si="20"/>
        <v>Compatible LE LCD/LED TV Remotes</v>
      </c>
      <c r="O84" s="1" t="str">
        <f t="shared" si="21"/>
        <v>Get Any Compatible LE LCD/LED TV Remotes Easily at Your Door-steps</v>
      </c>
      <c r="P84" s="1" t="str">
        <f t="shared" si="22"/>
        <v>Upix® Compatible LE LCD/LED TV Remotes</v>
      </c>
      <c r="Q84" s="1" t="str">
        <f t="shared" si="23"/>
        <v>Get Any Upix® Compatible LE LCD/LED TV Remotes Easily at Your Door-steps</v>
      </c>
      <c r="R84" s="1" t="s">
        <v>643</v>
      </c>
      <c r="S84" s="4" t="str">
        <f t="shared" si="24"/>
        <v>Upix® Compatible LE LCD/LED TV Remotes</v>
      </c>
      <c r="T84" s="1" t="s">
        <v>644</v>
      </c>
    </row>
    <row r="85" spans="1:20" x14ac:dyDescent="0.3">
      <c r="A85" s="4">
        <v>84</v>
      </c>
      <c r="B85" s="4" t="s">
        <v>1344</v>
      </c>
      <c r="C85" s="4" t="s">
        <v>628</v>
      </c>
      <c r="D85" s="4" t="str">
        <f t="shared" si="15"/>
        <v>Onix Smart TV LCD/LED</v>
      </c>
      <c r="E85" s="5" t="str">
        <f t="shared" si="16"/>
        <v>Onix Smart TV LCD/LED Remotes</v>
      </c>
      <c r="F85" s="4" t="str">
        <f t="shared" si="17"/>
        <v>Onix Smart TV LCD/LED Remote Control</v>
      </c>
      <c r="G85" s="4" t="str">
        <f t="shared" si="18"/>
        <v>Remote for Onix Smart TV LCD/LED</v>
      </c>
      <c r="H85" s="4" t="str">
        <f>C85&amp;" Smart TV Remote"</f>
        <v>Onix Smart TV Remote</v>
      </c>
      <c r="I85" s="4" t="str">
        <f t="shared" si="19"/>
        <v>Smart TV LCD/LED Remote for Onix Smart TV LCD/LED</v>
      </c>
      <c r="J85" s="4" t="str">
        <f>C85&amp;" Smart Remote"</f>
        <v>Onix Smart Remote</v>
      </c>
      <c r="K85" s="4" t="s">
        <v>646</v>
      </c>
      <c r="M85" s="4" t="s">
        <v>1207</v>
      </c>
      <c r="N85" s="4" t="str">
        <f t="shared" si="20"/>
        <v>Compatible Onix Smart TV LCD/LED Remotes</v>
      </c>
      <c r="O85" s="1" t="str">
        <f t="shared" si="21"/>
        <v>Get Any Compatible Onix Smart TV LCD/LED Remotes Easily at Your Door-steps</v>
      </c>
      <c r="P85" s="1" t="str">
        <f t="shared" si="22"/>
        <v>Upix® Compatible Onix Smart TV LCD/LED Remotes</v>
      </c>
      <c r="Q85" s="1" t="str">
        <f t="shared" si="23"/>
        <v>Get Any Upix® Compatible Onix Smart TV LCD/LED Remotes Easily at Your Door-steps</v>
      </c>
      <c r="R85" s="1" t="s">
        <v>643</v>
      </c>
      <c r="S85" s="4" t="str">
        <f t="shared" si="24"/>
        <v>Upix® Compatible Onix Smart TV LCD/LED Remotes</v>
      </c>
      <c r="T85" s="1" t="s">
        <v>644</v>
      </c>
    </row>
    <row r="86" spans="1:20" x14ac:dyDescent="0.3">
      <c r="A86" s="4">
        <v>85</v>
      </c>
      <c r="B86" s="4" t="s">
        <v>1345</v>
      </c>
      <c r="C86" s="4" t="s">
        <v>41</v>
      </c>
      <c r="D86" s="4" t="str">
        <f t="shared" si="15"/>
        <v>Sony Car Audio</v>
      </c>
      <c r="E86" s="5" t="str">
        <f>D86&amp;" Remote(s)"</f>
        <v>Sony Car Audio Remote(s)</v>
      </c>
      <c r="F86" s="4" t="str">
        <f t="shared" si="17"/>
        <v>Sony Car Audio Remote Control</v>
      </c>
      <c r="G86" s="4" t="str">
        <f t="shared" si="18"/>
        <v>Remote for Sony Car Audio</v>
      </c>
      <c r="H86" s="4" t="s">
        <v>1167</v>
      </c>
      <c r="I86" s="4" t="str">
        <f t="shared" si="19"/>
        <v>Car Audio Remote for Sony Car Audio</v>
      </c>
      <c r="J86" s="4" t="str">
        <f t="shared" ref="J86:J100" si="29">F86&amp;" Not Working"</f>
        <v>Sony Car Audio Remote Control Not Working</v>
      </c>
      <c r="K86" s="4" t="s">
        <v>646</v>
      </c>
      <c r="M86" s="4" t="s">
        <v>503</v>
      </c>
      <c r="N86" s="4" t="str">
        <f t="shared" si="20"/>
        <v>Compatible Sony Car Audio Remote(s)</v>
      </c>
      <c r="O86" s="1" t="str">
        <f t="shared" si="21"/>
        <v>Get Any Compatible Sony Car Audio Remote(s) Easily at Your Door-steps</v>
      </c>
      <c r="P86" s="1" t="str">
        <f t="shared" si="22"/>
        <v>Upix® Compatible Sony Car Audio Remote(s)</v>
      </c>
      <c r="Q86" s="1" t="str">
        <f t="shared" si="23"/>
        <v>Get Any Upix® Compatible Sony Car Audio Remote(s) Easily at Your Door-steps</v>
      </c>
      <c r="R86" s="1" t="s">
        <v>643</v>
      </c>
      <c r="S86" s="4" t="str">
        <f t="shared" si="24"/>
        <v>Upix® Compatible Sony Car Audio Remote(s)</v>
      </c>
      <c r="T86" s="1" t="s">
        <v>644</v>
      </c>
    </row>
    <row r="87" spans="1:20" x14ac:dyDescent="0.3">
      <c r="A87" s="4">
        <v>86</v>
      </c>
      <c r="B87" s="4" t="s">
        <v>370</v>
      </c>
      <c r="C87" s="4" t="s">
        <v>51</v>
      </c>
      <c r="D87" s="4" t="str">
        <f t="shared" si="15"/>
        <v>BPL CRT TV</v>
      </c>
      <c r="E87" s="5" t="str">
        <f t="shared" si="16"/>
        <v>BPL CRT TV Remotes</v>
      </c>
      <c r="F87" s="4" t="str">
        <f t="shared" si="17"/>
        <v>BPL CRT TV Remote Control</v>
      </c>
      <c r="G87" s="4" t="str">
        <f t="shared" si="18"/>
        <v>Remote for BPL CRT TV</v>
      </c>
      <c r="H87" s="4" t="str">
        <f>C87&amp;" TV Remote"</f>
        <v>BPL TV Remote</v>
      </c>
      <c r="I87" s="4" t="str">
        <f t="shared" si="19"/>
        <v>CRT TV Remote for BPL CRT TV</v>
      </c>
      <c r="J87" s="4" t="str">
        <f t="shared" si="29"/>
        <v>BPL CRT TV Remote Control Not Working</v>
      </c>
      <c r="K87" s="4" t="s">
        <v>646</v>
      </c>
      <c r="L87" s="4" t="s">
        <v>646</v>
      </c>
      <c r="M87" s="4" t="s">
        <v>504</v>
      </c>
      <c r="N87" s="4" t="str">
        <f t="shared" si="20"/>
        <v>Compatible BPL CRT TV Remotes</v>
      </c>
      <c r="O87" s="1" t="str">
        <f t="shared" si="21"/>
        <v>Get Any Compatible BPL CRT TV Remotes Easily at Your Door-steps</v>
      </c>
      <c r="P87" s="1" t="str">
        <f t="shared" si="22"/>
        <v>Upix® Compatible BPL CRT TV Remotes</v>
      </c>
      <c r="Q87" s="1" t="str">
        <f t="shared" si="23"/>
        <v>Get Any Upix® Compatible BPL CRT TV Remotes Easily at Your Door-steps</v>
      </c>
      <c r="R87" s="1" t="s">
        <v>643</v>
      </c>
      <c r="S87" s="4" t="str">
        <f t="shared" si="24"/>
        <v>Upix® Compatible BPL CRT TV Remotes</v>
      </c>
      <c r="T87" s="1" t="s">
        <v>644</v>
      </c>
    </row>
    <row r="88" spans="1:20" x14ac:dyDescent="0.3">
      <c r="A88" s="4">
        <v>87</v>
      </c>
      <c r="B88" s="4" t="s">
        <v>370</v>
      </c>
      <c r="C88" s="4" t="s">
        <v>25</v>
      </c>
      <c r="D88" s="4" t="str">
        <f t="shared" si="15"/>
        <v>LG CRT TV</v>
      </c>
      <c r="E88" s="5" t="str">
        <f t="shared" si="16"/>
        <v>LG CRT TV Remotes</v>
      </c>
      <c r="F88" s="4" t="str">
        <f t="shared" si="17"/>
        <v>LG CRT TV Remote Control</v>
      </c>
      <c r="G88" s="4" t="str">
        <f t="shared" si="18"/>
        <v>Remote for LG CRT TV</v>
      </c>
      <c r="H88" s="4" t="str">
        <f t="shared" ref="H88:H100" si="30">C88&amp;" TV Remote"</f>
        <v>LG TV Remote</v>
      </c>
      <c r="I88" s="4" t="str">
        <f t="shared" si="19"/>
        <v>CRT TV Remote for LG CRT TV</v>
      </c>
      <c r="J88" s="4" t="str">
        <f t="shared" si="29"/>
        <v>LG CRT TV Remote Control Not Working</v>
      </c>
      <c r="K88" s="4" t="s">
        <v>646</v>
      </c>
      <c r="L88" s="4" t="s">
        <v>646</v>
      </c>
      <c r="M88" s="4" t="s">
        <v>505</v>
      </c>
      <c r="N88" s="4" t="str">
        <f t="shared" si="20"/>
        <v>Compatible LG CRT TV Remotes</v>
      </c>
      <c r="O88" s="1" t="str">
        <f t="shared" si="21"/>
        <v>Get Any Compatible LG CRT TV Remotes Easily at Your Door-steps</v>
      </c>
      <c r="P88" s="1" t="str">
        <f t="shared" si="22"/>
        <v>Upix® Compatible LG CRT TV Remotes</v>
      </c>
      <c r="Q88" s="1" t="str">
        <f t="shared" si="23"/>
        <v>Get Any Upix® Compatible LG CRT TV Remotes Easily at Your Door-steps</v>
      </c>
      <c r="R88" s="1" t="s">
        <v>643</v>
      </c>
      <c r="S88" s="4" t="str">
        <f t="shared" si="24"/>
        <v>Upix® Compatible LG CRT TV Remotes</v>
      </c>
      <c r="T88" s="1" t="s">
        <v>644</v>
      </c>
    </row>
    <row r="89" spans="1:20" x14ac:dyDescent="0.3">
      <c r="A89" s="4">
        <v>88</v>
      </c>
      <c r="B89" s="4" t="s">
        <v>370</v>
      </c>
      <c r="C89" s="4" t="s">
        <v>11</v>
      </c>
      <c r="D89" s="4" t="str">
        <f t="shared" si="15"/>
        <v>Onida CRT TV</v>
      </c>
      <c r="E89" s="5" t="str">
        <f t="shared" si="16"/>
        <v>Onida CRT TV Remotes</v>
      </c>
      <c r="F89" s="4" t="str">
        <f t="shared" si="17"/>
        <v>Onida CRT TV Remote Control</v>
      </c>
      <c r="G89" s="4" t="str">
        <f t="shared" si="18"/>
        <v>Remote for Onida CRT TV</v>
      </c>
      <c r="H89" s="4" t="str">
        <f t="shared" si="30"/>
        <v>Onida TV Remote</v>
      </c>
      <c r="I89" s="4" t="str">
        <f t="shared" si="19"/>
        <v>CRT TV Remote for Onida CRT TV</v>
      </c>
      <c r="J89" s="4" t="str">
        <f t="shared" si="29"/>
        <v>Onida CRT TV Remote Control Not Working</v>
      </c>
      <c r="K89" s="4" t="s">
        <v>646</v>
      </c>
      <c r="M89" s="4" t="s">
        <v>506</v>
      </c>
      <c r="N89" s="4" t="str">
        <f t="shared" si="20"/>
        <v>Compatible Onida CRT TV Remotes</v>
      </c>
      <c r="O89" s="1" t="str">
        <f t="shared" si="21"/>
        <v>Get Any Compatible Onida CRT TV Remotes Easily at Your Door-steps</v>
      </c>
      <c r="P89" s="1" t="str">
        <f t="shared" si="22"/>
        <v>Upix® Compatible Onida CRT TV Remotes</v>
      </c>
      <c r="Q89" s="1" t="str">
        <f t="shared" si="23"/>
        <v>Get Any Upix® Compatible Onida CRT TV Remotes Easily at Your Door-steps</v>
      </c>
      <c r="R89" s="1" t="s">
        <v>643</v>
      </c>
      <c r="S89" s="4" t="str">
        <f t="shared" si="24"/>
        <v>Upix® Compatible Onida CRT TV Remotes</v>
      </c>
      <c r="T89" s="1" t="s">
        <v>644</v>
      </c>
    </row>
    <row r="90" spans="1:20" x14ac:dyDescent="0.3">
      <c r="A90" s="4">
        <v>89</v>
      </c>
      <c r="B90" s="4" t="s">
        <v>370</v>
      </c>
      <c r="C90" s="4" t="s">
        <v>30</v>
      </c>
      <c r="D90" s="4" t="str">
        <f t="shared" si="15"/>
        <v>Panasonic CRT TV</v>
      </c>
      <c r="E90" s="5" t="str">
        <f t="shared" si="16"/>
        <v>Panasonic CRT TV Remotes</v>
      </c>
      <c r="F90" s="4" t="str">
        <f t="shared" si="17"/>
        <v>Panasonic CRT TV Remote Control</v>
      </c>
      <c r="G90" s="4" t="str">
        <f t="shared" si="18"/>
        <v>Remote for Panasonic CRT TV</v>
      </c>
      <c r="H90" s="4" t="str">
        <f t="shared" si="30"/>
        <v>Panasonic TV Remote</v>
      </c>
      <c r="I90" s="4" t="str">
        <f t="shared" si="19"/>
        <v>CRT TV Remote for Panasonic CRT TV</v>
      </c>
      <c r="J90" s="4" t="str">
        <f t="shared" si="29"/>
        <v>Panasonic CRT TV Remote Control Not Working</v>
      </c>
      <c r="K90" s="4" t="s">
        <v>646</v>
      </c>
      <c r="M90" s="4" t="s">
        <v>507</v>
      </c>
      <c r="N90" s="4" t="str">
        <f t="shared" si="20"/>
        <v>Compatible Panasonic CRT TV Remotes</v>
      </c>
      <c r="O90" s="1" t="str">
        <f t="shared" si="21"/>
        <v>Get Any Compatible Panasonic CRT TV Remotes Easily at Your Door-steps</v>
      </c>
      <c r="P90" s="1" t="str">
        <f t="shared" si="22"/>
        <v>Upix® Compatible Panasonic CRT TV Remotes</v>
      </c>
      <c r="Q90" s="1" t="str">
        <f t="shared" si="23"/>
        <v>Get Any Upix® Compatible Panasonic CRT TV Remotes Easily at Your Door-steps</v>
      </c>
      <c r="R90" s="1" t="s">
        <v>643</v>
      </c>
      <c r="S90" s="4" t="str">
        <f t="shared" si="24"/>
        <v>Upix® Compatible Panasonic CRT TV Remotes</v>
      </c>
      <c r="T90" s="1" t="s">
        <v>644</v>
      </c>
    </row>
    <row r="91" spans="1:20" x14ac:dyDescent="0.3">
      <c r="A91" s="4">
        <v>90</v>
      </c>
      <c r="B91" s="4" t="s">
        <v>370</v>
      </c>
      <c r="C91" s="4" t="s">
        <v>50</v>
      </c>
      <c r="D91" s="4" t="str">
        <f t="shared" si="15"/>
        <v>Philips CRT TV</v>
      </c>
      <c r="E91" s="5" t="str">
        <f t="shared" si="16"/>
        <v>Philips CRT TV Remotes</v>
      </c>
      <c r="F91" s="4" t="str">
        <f t="shared" si="17"/>
        <v>Philips CRT TV Remote Control</v>
      </c>
      <c r="G91" s="4" t="str">
        <f t="shared" si="18"/>
        <v>Remote for Philips CRT TV</v>
      </c>
      <c r="H91" s="4" t="str">
        <f t="shared" si="30"/>
        <v>Philips TV Remote</v>
      </c>
      <c r="I91" s="4" t="str">
        <f t="shared" si="19"/>
        <v>CRT TV Remote for Philips CRT TV</v>
      </c>
      <c r="J91" s="4" t="str">
        <f t="shared" si="29"/>
        <v>Philips CRT TV Remote Control Not Working</v>
      </c>
      <c r="K91" s="4" t="s">
        <v>647</v>
      </c>
      <c r="M91" s="4" t="s">
        <v>508</v>
      </c>
      <c r="N91" s="4" t="str">
        <f t="shared" si="20"/>
        <v>Compatible Philips CRT TV Remotes</v>
      </c>
      <c r="O91" s="1" t="str">
        <f t="shared" si="21"/>
        <v>Get Any Compatible Philips CRT TV Remotes Easily at Your Door-steps</v>
      </c>
      <c r="P91" s="1" t="str">
        <f t="shared" si="22"/>
        <v>Upix® Compatible Philips CRT TV Remotes</v>
      </c>
      <c r="Q91" s="1" t="str">
        <f t="shared" si="23"/>
        <v>Get Any Upix® Compatible Philips CRT TV Remotes Easily at Your Door-steps</v>
      </c>
      <c r="R91" s="1" t="s">
        <v>643</v>
      </c>
      <c r="S91" s="4" t="str">
        <f t="shared" si="24"/>
        <v>Upix® Compatible Philips CRT TV Remotes</v>
      </c>
      <c r="T91" s="1" t="s">
        <v>644</v>
      </c>
    </row>
    <row r="92" spans="1:20" x14ac:dyDescent="0.3">
      <c r="A92" s="4">
        <v>91</v>
      </c>
      <c r="B92" s="4" t="s">
        <v>370</v>
      </c>
      <c r="C92" s="4" t="s">
        <v>31</v>
      </c>
      <c r="D92" s="4" t="str">
        <f t="shared" si="15"/>
        <v>Samsung CRT TV</v>
      </c>
      <c r="E92" s="5" t="str">
        <f t="shared" si="16"/>
        <v>Samsung CRT TV Remotes</v>
      </c>
      <c r="F92" s="4" t="str">
        <f t="shared" si="17"/>
        <v>Samsung CRT TV Remote Control</v>
      </c>
      <c r="G92" s="4" t="str">
        <f t="shared" si="18"/>
        <v>Remote for Samsung CRT TV</v>
      </c>
      <c r="H92" s="4" t="str">
        <f t="shared" si="30"/>
        <v>Samsung TV Remote</v>
      </c>
      <c r="I92" s="4" t="str">
        <f t="shared" si="19"/>
        <v>CRT TV Remote for Samsung CRT TV</v>
      </c>
      <c r="J92" s="4" t="str">
        <f t="shared" si="29"/>
        <v>Samsung CRT TV Remote Control Not Working</v>
      </c>
      <c r="K92" s="4" t="s">
        <v>647</v>
      </c>
      <c r="L92" s="4" t="s">
        <v>646</v>
      </c>
      <c r="M92" s="4" t="s">
        <v>509</v>
      </c>
      <c r="N92" s="4" t="str">
        <f t="shared" si="20"/>
        <v>Compatible Samsung CRT TV Remotes</v>
      </c>
      <c r="O92" s="1" t="str">
        <f t="shared" si="21"/>
        <v>Get Any Compatible Samsung CRT TV Remotes Easily at Your Door-steps</v>
      </c>
      <c r="P92" s="1" t="str">
        <f t="shared" si="22"/>
        <v>Upix® Compatible Samsung CRT TV Remotes</v>
      </c>
      <c r="Q92" s="1" t="str">
        <f t="shared" si="23"/>
        <v>Get Any Upix® Compatible Samsung CRT TV Remotes Easily at Your Door-steps</v>
      </c>
      <c r="R92" s="1" t="s">
        <v>643</v>
      </c>
      <c r="S92" s="4" t="str">
        <f t="shared" si="24"/>
        <v>Upix® Compatible Samsung CRT TV Remotes</v>
      </c>
      <c r="T92" s="1" t="s">
        <v>644</v>
      </c>
    </row>
    <row r="93" spans="1:20" x14ac:dyDescent="0.3">
      <c r="A93" s="4">
        <v>92</v>
      </c>
      <c r="B93" s="4" t="s">
        <v>370</v>
      </c>
      <c r="C93" s="4" t="s">
        <v>16</v>
      </c>
      <c r="D93" s="4" t="str">
        <f t="shared" si="15"/>
        <v>Sansui CRT TV</v>
      </c>
      <c r="E93" s="5" t="str">
        <f t="shared" si="16"/>
        <v>Sansui CRT TV Remotes</v>
      </c>
      <c r="F93" s="4" t="str">
        <f t="shared" si="17"/>
        <v>Sansui CRT TV Remote Control</v>
      </c>
      <c r="G93" s="4" t="str">
        <f t="shared" si="18"/>
        <v>Remote for Sansui CRT TV</v>
      </c>
      <c r="H93" s="4" t="str">
        <f t="shared" si="30"/>
        <v>Sansui TV Remote</v>
      </c>
      <c r="I93" s="4" t="str">
        <f t="shared" si="19"/>
        <v>CRT TV Remote for Sansui CRT TV</v>
      </c>
      <c r="J93" s="4" t="str">
        <f t="shared" si="29"/>
        <v>Sansui CRT TV Remote Control Not Working</v>
      </c>
      <c r="K93" s="4" t="s">
        <v>646</v>
      </c>
      <c r="M93" s="4" t="s">
        <v>510</v>
      </c>
      <c r="N93" s="4" t="str">
        <f t="shared" si="20"/>
        <v>Compatible Sansui CRT TV Remotes</v>
      </c>
      <c r="O93" s="1" t="str">
        <f t="shared" si="21"/>
        <v>Get Any Compatible Sansui CRT TV Remotes Easily at Your Door-steps</v>
      </c>
      <c r="P93" s="1" t="str">
        <f t="shared" si="22"/>
        <v>Upix® Compatible Sansui CRT TV Remotes</v>
      </c>
      <c r="Q93" s="1" t="str">
        <f t="shared" si="23"/>
        <v>Get Any Upix® Compatible Sansui CRT TV Remotes Easily at Your Door-steps</v>
      </c>
      <c r="R93" s="1" t="s">
        <v>643</v>
      </c>
      <c r="S93" s="4" t="str">
        <f t="shared" si="24"/>
        <v>Upix® Compatible Sansui CRT TV Remotes</v>
      </c>
      <c r="T93" s="1" t="s">
        <v>644</v>
      </c>
    </row>
    <row r="94" spans="1:20" x14ac:dyDescent="0.3">
      <c r="A94" s="4">
        <v>93</v>
      </c>
      <c r="B94" s="4" t="s">
        <v>370</v>
      </c>
      <c r="C94" s="4" t="s">
        <v>9</v>
      </c>
      <c r="D94" s="4" t="str">
        <f t="shared" si="15"/>
        <v>Videocon CRT TV</v>
      </c>
      <c r="E94" s="5" t="str">
        <f t="shared" si="16"/>
        <v>Videocon CRT TV Remotes</v>
      </c>
      <c r="F94" s="4" t="str">
        <f t="shared" si="17"/>
        <v>Videocon CRT TV Remote Control</v>
      </c>
      <c r="G94" s="4" t="str">
        <f t="shared" si="18"/>
        <v>Remote for Videocon CRT TV</v>
      </c>
      <c r="H94" s="4" t="str">
        <f t="shared" si="30"/>
        <v>Videocon TV Remote</v>
      </c>
      <c r="I94" s="4" t="str">
        <f t="shared" si="19"/>
        <v>CRT TV Remote for Videocon CRT TV</v>
      </c>
      <c r="J94" s="4" t="str">
        <f t="shared" si="29"/>
        <v>Videocon CRT TV Remote Control Not Working</v>
      </c>
      <c r="K94" s="4" t="s">
        <v>646</v>
      </c>
      <c r="M94" s="4" t="s">
        <v>511</v>
      </c>
      <c r="N94" s="4" t="str">
        <f t="shared" si="20"/>
        <v>Compatible Videocon CRT TV Remotes</v>
      </c>
      <c r="O94" s="1" t="str">
        <f t="shared" si="21"/>
        <v>Get Any Compatible Videocon CRT TV Remotes Easily at Your Door-steps</v>
      </c>
      <c r="P94" s="1" t="str">
        <f t="shared" si="22"/>
        <v>Upix® Compatible Videocon CRT TV Remotes</v>
      </c>
      <c r="Q94" s="1" t="str">
        <f t="shared" si="23"/>
        <v>Get Any Upix® Compatible Videocon CRT TV Remotes Easily at Your Door-steps</v>
      </c>
      <c r="R94" s="1" t="s">
        <v>643</v>
      </c>
      <c r="S94" s="4" t="str">
        <f t="shared" si="24"/>
        <v>Upix® Compatible Videocon CRT TV Remotes</v>
      </c>
      <c r="T94" s="1" t="s">
        <v>644</v>
      </c>
    </row>
    <row r="95" spans="1:20" x14ac:dyDescent="0.3">
      <c r="A95" s="4">
        <v>94</v>
      </c>
      <c r="B95" s="4" t="s">
        <v>370</v>
      </c>
      <c r="C95" s="4" t="s">
        <v>42</v>
      </c>
      <c r="D95" s="4" t="str">
        <f t="shared" si="15"/>
        <v>Akai CRT TV</v>
      </c>
      <c r="E95" s="5" t="str">
        <f>D95&amp;" Remotes"</f>
        <v>Akai CRT TV Remotes</v>
      </c>
      <c r="F95" s="4" t="str">
        <f t="shared" si="17"/>
        <v>Akai CRT TV Remote Control</v>
      </c>
      <c r="G95" s="4" t="str">
        <f t="shared" si="18"/>
        <v>Remote for Akai CRT TV</v>
      </c>
      <c r="H95" s="4" t="str">
        <f t="shared" si="30"/>
        <v>Akai TV Remote</v>
      </c>
      <c r="I95" s="4" t="str">
        <f t="shared" si="19"/>
        <v>CRT TV Remote for Akai CRT TV</v>
      </c>
      <c r="J95" s="4" t="str">
        <f t="shared" si="29"/>
        <v>Akai CRT TV Remote Control Not Working</v>
      </c>
      <c r="K95" s="4" t="s">
        <v>646</v>
      </c>
      <c r="M95" s="4" t="s">
        <v>512</v>
      </c>
      <c r="N95" s="4" t="str">
        <f t="shared" si="20"/>
        <v>Compatible Akai CRT TV Remotes</v>
      </c>
      <c r="O95" s="1" t="str">
        <f t="shared" si="21"/>
        <v>Get Any Compatible Akai CRT TV Remotes Easily at Your Door-steps</v>
      </c>
      <c r="P95" s="1" t="str">
        <f t="shared" si="22"/>
        <v>Upix® Compatible Akai CRT TV Remotes</v>
      </c>
      <c r="Q95" s="1" t="str">
        <f t="shared" si="23"/>
        <v>Get Any Upix® Compatible Akai CRT TV Remotes Easily at Your Door-steps</v>
      </c>
      <c r="R95" s="1" t="s">
        <v>643</v>
      </c>
      <c r="S95" s="4" t="str">
        <f t="shared" si="24"/>
        <v>Upix® Compatible Akai CRT TV Remotes</v>
      </c>
      <c r="T95" s="1" t="s">
        <v>644</v>
      </c>
    </row>
    <row r="96" spans="1:20" x14ac:dyDescent="0.3">
      <c r="A96" s="4">
        <v>95</v>
      </c>
      <c r="B96" s="4" t="s">
        <v>370</v>
      </c>
      <c r="C96" s="4" t="s">
        <v>623</v>
      </c>
      <c r="D96" s="4" t="str">
        <f t="shared" si="15"/>
        <v>Aiwa CRT TV</v>
      </c>
      <c r="E96" s="5" t="str">
        <f t="shared" si="16"/>
        <v>Aiwa CRT TV Remotes</v>
      </c>
      <c r="F96" s="4" t="str">
        <f t="shared" si="17"/>
        <v>Aiwa CRT TV Remote Control</v>
      </c>
      <c r="G96" s="4" t="str">
        <f t="shared" si="18"/>
        <v>Remote for Aiwa CRT TV</v>
      </c>
      <c r="H96" s="4" t="str">
        <f t="shared" si="30"/>
        <v>Aiwa TV Remote</v>
      </c>
      <c r="I96" s="4" t="str">
        <f t="shared" si="19"/>
        <v>CRT TV Remote for Aiwa CRT TV</v>
      </c>
      <c r="J96" s="4" t="str">
        <f t="shared" si="29"/>
        <v>Aiwa CRT TV Remote Control Not Working</v>
      </c>
      <c r="K96" s="4" t="s">
        <v>647</v>
      </c>
      <c r="M96" s="4" t="s">
        <v>624</v>
      </c>
      <c r="N96" s="4" t="str">
        <f t="shared" si="20"/>
        <v>Compatible Aiwa CRT TV Remotes</v>
      </c>
      <c r="O96" s="1" t="str">
        <f t="shared" si="21"/>
        <v>Get Any Compatible Aiwa CRT TV Remotes Easily at Your Door-steps</v>
      </c>
      <c r="P96" s="1" t="str">
        <f t="shared" si="22"/>
        <v>Upix® Compatible Aiwa CRT TV Remotes</v>
      </c>
      <c r="Q96" s="1" t="str">
        <f t="shared" si="23"/>
        <v>Get Any Upix® Compatible Aiwa CRT TV Remotes Easily at Your Door-steps</v>
      </c>
      <c r="R96" s="1" t="s">
        <v>643</v>
      </c>
      <c r="S96" s="4" t="str">
        <f t="shared" si="24"/>
        <v>Upix® Compatible Aiwa CRT TV Remotes</v>
      </c>
      <c r="T96" s="1" t="s">
        <v>644</v>
      </c>
    </row>
    <row r="97" spans="1:20" x14ac:dyDescent="0.3">
      <c r="A97" s="4">
        <v>96</v>
      </c>
      <c r="B97" s="4" t="s">
        <v>370</v>
      </c>
      <c r="C97" s="5" t="s">
        <v>33</v>
      </c>
      <c r="D97" s="4" t="str">
        <f t="shared" si="15"/>
        <v>Sharp CRT TV</v>
      </c>
      <c r="E97" s="5" t="str">
        <f t="shared" si="16"/>
        <v>Sharp CRT TV Remotes</v>
      </c>
      <c r="F97" s="4" t="str">
        <f t="shared" si="17"/>
        <v>Sharp CRT TV Remote Control</v>
      </c>
      <c r="G97" s="4" t="str">
        <f t="shared" si="18"/>
        <v>Remote for Sharp CRT TV</v>
      </c>
      <c r="H97" s="4" t="str">
        <f t="shared" si="30"/>
        <v>Sharp TV Remote</v>
      </c>
      <c r="I97" s="4" t="str">
        <f t="shared" si="19"/>
        <v>CRT TV Remote for Sharp CRT TV</v>
      </c>
      <c r="J97" s="4" t="str">
        <f t="shared" si="29"/>
        <v>Sharp CRT TV Remote Control Not Working</v>
      </c>
      <c r="K97" s="4" t="s">
        <v>647</v>
      </c>
      <c r="M97" s="4" t="s">
        <v>625</v>
      </c>
      <c r="N97" s="4" t="str">
        <f t="shared" si="20"/>
        <v>Compatible Sharp CRT TV Remotes</v>
      </c>
      <c r="O97" s="1" t="str">
        <f t="shared" si="21"/>
        <v>Get Any Compatible Sharp CRT TV Remotes Easily at Your Door-steps</v>
      </c>
      <c r="P97" s="1" t="str">
        <f t="shared" si="22"/>
        <v>Upix® Compatible Sharp CRT TV Remotes</v>
      </c>
      <c r="Q97" s="1" t="str">
        <f t="shared" si="23"/>
        <v>Get Any Upix® Compatible Sharp CRT TV Remotes Easily at Your Door-steps</v>
      </c>
      <c r="R97" s="1" t="s">
        <v>643</v>
      </c>
      <c r="S97" s="4" t="str">
        <f t="shared" si="24"/>
        <v>Upix® Compatible Sharp CRT TV Remotes</v>
      </c>
      <c r="T97" s="1" t="s">
        <v>644</v>
      </c>
    </row>
    <row r="98" spans="1:20" x14ac:dyDescent="0.3">
      <c r="A98" s="4">
        <v>97</v>
      </c>
      <c r="B98" s="4" t="s">
        <v>370</v>
      </c>
      <c r="C98" s="4" t="s">
        <v>14</v>
      </c>
      <c r="D98" s="4" t="str">
        <f t="shared" ref="D98:D129" si="31">C98&amp;" "&amp;B98</f>
        <v>Hyundai CRT TV</v>
      </c>
      <c r="E98" s="5" t="str">
        <f t="shared" si="16"/>
        <v>Hyundai CRT TV Remotes</v>
      </c>
      <c r="F98" s="4" t="str">
        <f t="shared" si="17"/>
        <v>Hyundai CRT TV Remote Control</v>
      </c>
      <c r="G98" s="4" t="str">
        <f t="shared" si="18"/>
        <v>Remote for Hyundai CRT TV</v>
      </c>
      <c r="H98" s="4" t="str">
        <f t="shared" si="30"/>
        <v>Hyundai TV Remote</v>
      </c>
      <c r="I98" s="4" t="str">
        <f t="shared" si="19"/>
        <v>CRT TV Remote for Hyundai CRT TV</v>
      </c>
      <c r="J98" s="4" t="str">
        <f t="shared" si="29"/>
        <v>Hyundai CRT TV Remote Control Not Working</v>
      </c>
      <c r="K98" s="4" t="s">
        <v>647</v>
      </c>
      <c r="M98" s="4" t="s">
        <v>626</v>
      </c>
      <c r="N98" s="4" t="str">
        <f t="shared" si="20"/>
        <v>Compatible Hyundai CRT TV Remotes</v>
      </c>
      <c r="O98" s="1" t="str">
        <f t="shared" si="21"/>
        <v>Get Any Compatible Hyundai CRT TV Remotes Easily at Your Door-steps</v>
      </c>
      <c r="P98" s="1" t="str">
        <f t="shared" si="22"/>
        <v>Upix® Compatible Hyundai CRT TV Remotes</v>
      </c>
      <c r="Q98" s="1" t="str">
        <f t="shared" si="23"/>
        <v>Get Any Upix® Compatible Hyundai CRT TV Remotes Easily at Your Door-steps</v>
      </c>
      <c r="R98" s="1" t="s">
        <v>643</v>
      </c>
      <c r="S98" s="4" t="str">
        <f t="shared" si="24"/>
        <v>Upix® Compatible Hyundai CRT TV Remotes</v>
      </c>
      <c r="T98" s="1" t="s">
        <v>644</v>
      </c>
    </row>
    <row r="99" spans="1:20" x14ac:dyDescent="0.3">
      <c r="A99" s="4">
        <v>98</v>
      </c>
      <c r="B99" s="4" t="s">
        <v>370</v>
      </c>
      <c r="C99" s="4" t="s">
        <v>41</v>
      </c>
      <c r="D99" s="4" t="str">
        <f t="shared" si="31"/>
        <v>Sony CRT TV</v>
      </c>
      <c r="E99" s="5" t="str">
        <f t="shared" si="16"/>
        <v>Sony CRT TV Remotes</v>
      </c>
      <c r="F99" s="4" t="str">
        <f t="shared" si="17"/>
        <v>Sony CRT TV Remote Control</v>
      </c>
      <c r="G99" s="4" t="str">
        <f t="shared" si="18"/>
        <v>Remote for Sony CRT TV</v>
      </c>
      <c r="H99" s="4" t="str">
        <f t="shared" si="30"/>
        <v>Sony TV Remote</v>
      </c>
      <c r="I99" s="4" t="str">
        <f t="shared" si="19"/>
        <v>CRT TV Remote for Sony CRT TV</v>
      </c>
      <c r="J99" s="4" t="str">
        <f t="shared" si="29"/>
        <v>Sony CRT TV Remote Control Not Working</v>
      </c>
      <c r="K99" s="4" t="s">
        <v>647</v>
      </c>
      <c r="M99" s="4" t="s">
        <v>631</v>
      </c>
      <c r="N99" s="4" t="str">
        <f t="shared" si="20"/>
        <v>Compatible Sony CRT TV Remotes</v>
      </c>
      <c r="O99" s="1" t="str">
        <f t="shared" si="21"/>
        <v>Get Any Compatible Sony CRT TV Remotes Easily at Your Door-steps</v>
      </c>
      <c r="P99" s="1" t="str">
        <f t="shared" si="22"/>
        <v>Upix® Compatible Sony CRT TV Remotes</v>
      </c>
      <c r="Q99" s="1" t="str">
        <f t="shared" si="23"/>
        <v>Get Any Upix® Compatible Sony CRT TV Remotes Easily at Your Door-steps</v>
      </c>
      <c r="R99" s="1" t="s">
        <v>643</v>
      </c>
      <c r="S99" s="4" t="str">
        <f t="shared" si="24"/>
        <v>Upix® Compatible Sony CRT TV Remotes</v>
      </c>
      <c r="T99" s="1" t="s">
        <v>644</v>
      </c>
    </row>
    <row r="100" spans="1:20" x14ac:dyDescent="0.3">
      <c r="A100" s="4">
        <v>99</v>
      </c>
      <c r="B100" s="4" t="s">
        <v>370</v>
      </c>
      <c r="C100" s="4" t="s">
        <v>34</v>
      </c>
      <c r="D100" s="4" t="str">
        <f t="shared" si="31"/>
        <v>TCL CRT TV</v>
      </c>
      <c r="E100" s="5" t="str">
        <f t="shared" si="16"/>
        <v>TCL CRT TV Remotes</v>
      </c>
      <c r="F100" s="4" t="str">
        <f t="shared" si="17"/>
        <v>TCL CRT TV Remote Control</v>
      </c>
      <c r="G100" s="4" t="str">
        <f t="shared" si="18"/>
        <v>Remote for TCL CRT TV</v>
      </c>
      <c r="H100" s="4" t="str">
        <f t="shared" si="30"/>
        <v>TCL TV Remote</v>
      </c>
      <c r="I100" s="4" t="str">
        <f t="shared" si="19"/>
        <v>CRT TV Remote for TCL CRT TV</v>
      </c>
      <c r="J100" s="4" t="str">
        <f t="shared" si="29"/>
        <v>TCL CRT TV Remote Control Not Working</v>
      </c>
      <c r="K100" s="4" t="s">
        <v>647</v>
      </c>
      <c r="M100" s="4" t="s">
        <v>632</v>
      </c>
      <c r="N100" s="4" t="str">
        <f t="shared" si="20"/>
        <v>Compatible TCL CRT TV Remotes</v>
      </c>
      <c r="O100" s="1" t="str">
        <f t="shared" si="21"/>
        <v>Get Any Compatible TCL CRT TV Remotes Easily at Your Door-steps</v>
      </c>
      <c r="P100" s="1" t="str">
        <f t="shared" si="22"/>
        <v>Upix® Compatible TCL CRT TV Remotes</v>
      </c>
      <c r="Q100" s="1" t="str">
        <f t="shared" si="23"/>
        <v>Get Any Upix® Compatible TCL CRT TV Remotes Easily at Your Door-steps</v>
      </c>
      <c r="R100" s="1" t="s">
        <v>643</v>
      </c>
      <c r="S100" s="4" t="str">
        <f t="shared" si="24"/>
        <v>Upix® Compatible TCL CRT TV Remotes</v>
      </c>
      <c r="T100" s="1" t="s">
        <v>644</v>
      </c>
    </row>
    <row r="101" spans="1:20" x14ac:dyDescent="0.3">
      <c r="A101" s="4">
        <v>100</v>
      </c>
      <c r="B101" s="4" t="s">
        <v>1359</v>
      </c>
      <c r="C101" s="4" t="s">
        <v>52</v>
      </c>
      <c r="D101" s="4" t="str">
        <f t="shared" si="31"/>
        <v>GTPL DTH/Set Top Box</v>
      </c>
      <c r="E101" s="5" t="str">
        <f t="shared" si="16"/>
        <v>GTPL DTH/Set Top Box Remotes</v>
      </c>
      <c r="F101" s="4" t="str">
        <f t="shared" si="17"/>
        <v>GTPL DTH/Set Top Box Remote Control</v>
      </c>
      <c r="G101" s="4" t="str">
        <f t="shared" si="18"/>
        <v>Remote for GTPL DTH/Set Top Box</v>
      </c>
      <c r="H101" s="4" t="str">
        <f>C101&amp;" DTH Remote"</f>
        <v>GTPL DTH Remote</v>
      </c>
      <c r="I101" s="4" t="str">
        <f t="shared" si="19"/>
        <v>DTH/Set Top Box Remote for GTPL DTH/Set Top Box</v>
      </c>
      <c r="J101" s="4" t="str">
        <f>C101&amp;" Set Top Box Remote"</f>
        <v>GTPL Set Top Box Remote</v>
      </c>
      <c r="K101" s="4" t="s">
        <v>646</v>
      </c>
      <c r="M101" s="4" t="s">
        <v>403</v>
      </c>
      <c r="N101" s="4" t="str">
        <f t="shared" si="20"/>
        <v>Compatible GTPL DTH/Set Top Box Remotes</v>
      </c>
      <c r="O101" s="1" t="str">
        <f t="shared" si="21"/>
        <v>Get Any Compatible GTPL DTH/Set Top Box Remotes Easily at Your Door-steps</v>
      </c>
      <c r="P101" s="1" t="str">
        <f t="shared" si="22"/>
        <v>Upix® Compatible GTPL DTH/Set Top Box Remotes</v>
      </c>
      <c r="Q101" s="1" t="str">
        <f t="shared" si="23"/>
        <v>Get Any Upix® Compatible GTPL DTH/Set Top Box Remotes Easily at Your Door-steps</v>
      </c>
      <c r="R101" s="1" t="s">
        <v>643</v>
      </c>
      <c r="S101" s="5" t="str">
        <f t="shared" si="24"/>
        <v>Upix® Compatible GTPL DTH/Set Top Box Remotes</v>
      </c>
      <c r="T101" s="1" t="s">
        <v>644</v>
      </c>
    </row>
    <row r="102" spans="1:20" x14ac:dyDescent="0.3">
      <c r="A102" s="4">
        <v>101</v>
      </c>
      <c r="B102" s="4" t="s">
        <v>1359</v>
      </c>
      <c r="C102" s="4" t="s">
        <v>1313</v>
      </c>
      <c r="D102" s="4" t="str">
        <f t="shared" si="31"/>
        <v>In Cable DTH/Set Top Box</v>
      </c>
      <c r="E102" s="5" t="str">
        <f t="shared" si="16"/>
        <v>In Cable DTH/Set Top Box Remotes</v>
      </c>
      <c r="F102" s="4" t="str">
        <f t="shared" si="17"/>
        <v>In Cable DTH/Set Top Box Remote Control</v>
      </c>
      <c r="G102" s="4" t="str">
        <f t="shared" si="18"/>
        <v>Remote for In Cable DTH/Set Top Box</v>
      </c>
      <c r="H102" s="4" t="str">
        <f t="shared" ref="H102:H122" si="32">C102&amp;" DTH Remote"</f>
        <v>In Cable DTH Remote</v>
      </c>
      <c r="I102" s="4" t="str">
        <f t="shared" si="19"/>
        <v>DTH/Set Top Box Remote for In Cable DTH/Set Top Box</v>
      </c>
      <c r="J102" s="4" t="str">
        <f t="shared" ref="J102:J122" si="33">C102&amp;" Set Top Box Remote"</f>
        <v>In Cable Set Top Box Remote</v>
      </c>
      <c r="K102" s="4" t="s">
        <v>646</v>
      </c>
      <c r="M102" s="4" t="s">
        <v>404</v>
      </c>
      <c r="N102" s="4" t="str">
        <f t="shared" si="20"/>
        <v>Compatible In Cable DTH/Set Top Box Remotes</v>
      </c>
      <c r="O102" s="1" t="str">
        <f t="shared" si="21"/>
        <v>Get Any Compatible In Cable DTH/Set Top Box Remotes Easily at Your Door-steps</v>
      </c>
      <c r="P102" s="1" t="str">
        <f t="shared" si="22"/>
        <v>Upix® Compatible In Cable DTH/Set Top Box Remotes</v>
      </c>
      <c r="Q102" s="1" t="str">
        <f t="shared" si="23"/>
        <v>Get Any Upix® Compatible In Cable DTH/Set Top Box Remotes Easily at Your Door-steps</v>
      </c>
      <c r="R102" s="1" t="s">
        <v>643</v>
      </c>
      <c r="S102" s="4" t="str">
        <f t="shared" si="24"/>
        <v>Upix® Compatible In Cable DTH/Set Top Box Remotes</v>
      </c>
      <c r="T102" s="1" t="s">
        <v>644</v>
      </c>
    </row>
    <row r="103" spans="1:20" x14ac:dyDescent="0.3">
      <c r="A103" s="4">
        <v>102</v>
      </c>
      <c r="B103" s="4" t="s">
        <v>1359</v>
      </c>
      <c r="C103" s="4" t="s">
        <v>53</v>
      </c>
      <c r="D103" s="4" t="str">
        <f t="shared" si="31"/>
        <v>Airtel DTH/Set Top Box</v>
      </c>
      <c r="E103" s="5" t="str">
        <f t="shared" si="16"/>
        <v>Airtel DTH/Set Top Box Remotes</v>
      </c>
      <c r="F103" s="4" t="str">
        <f t="shared" si="17"/>
        <v>Airtel DTH/Set Top Box Remote Control</v>
      </c>
      <c r="G103" s="4" t="str">
        <f t="shared" si="18"/>
        <v>Remote for Airtel DTH/Set Top Box</v>
      </c>
      <c r="H103" s="4" t="str">
        <f t="shared" si="32"/>
        <v>Airtel DTH Remote</v>
      </c>
      <c r="I103" s="4" t="str">
        <f t="shared" si="19"/>
        <v>DTH/Set Top Box Remote for Airtel DTH/Set Top Box</v>
      </c>
      <c r="J103" s="4" t="str">
        <f t="shared" si="33"/>
        <v>Airtel Set Top Box Remote</v>
      </c>
      <c r="K103" s="4" t="s">
        <v>646</v>
      </c>
      <c r="L103" s="4" t="s">
        <v>646</v>
      </c>
      <c r="M103" s="4" t="s">
        <v>405</v>
      </c>
      <c r="N103" s="4" t="str">
        <f t="shared" si="20"/>
        <v>Compatible Airtel DTH/Set Top Box Remotes</v>
      </c>
      <c r="O103" s="1" t="str">
        <f t="shared" si="21"/>
        <v>Get Any Compatible Airtel DTH/Set Top Box Remotes Easily at Your Door-steps</v>
      </c>
      <c r="P103" s="1" t="str">
        <f t="shared" si="22"/>
        <v>Upix® Compatible Airtel DTH/Set Top Box Remotes</v>
      </c>
      <c r="Q103" s="1" t="str">
        <f t="shared" si="23"/>
        <v>Get Any Upix® Compatible Airtel DTH/Set Top Box Remotes Easily at Your Door-steps</v>
      </c>
      <c r="R103" s="1" t="s">
        <v>643</v>
      </c>
      <c r="S103" s="4" t="str">
        <f t="shared" si="24"/>
        <v>Upix® Compatible Airtel DTH/Set Top Box Remotes</v>
      </c>
      <c r="T103" s="1" t="s">
        <v>644</v>
      </c>
    </row>
    <row r="104" spans="1:20" x14ac:dyDescent="0.3">
      <c r="A104" s="4">
        <v>103</v>
      </c>
      <c r="B104" s="4" t="s">
        <v>1359</v>
      </c>
      <c r="C104" s="4" t="s">
        <v>54</v>
      </c>
      <c r="D104" s="4" t="str">
        <f t="shared" si="31"/>
        <v>DishTV DTH/Set Top Box</v>
      </c>
      <c r="E104" s="5" t="str">
        <f t="shared" si="16"/>
        <v>DishTV DTH/Set Top Box Remotes</v>
      </c>
      <c r="F104" s="4" t="str">
        <f t="shared" si="17"/>
        <v>DishTV DTH/Set Top Box Remote Control</v>
      </c>
      <c r="G104" s="4" t="str">
        <f t="shared" si="18"/>
        <v>Remote for DishTV DTH/Set Top Box</v>
      </c>
      <c r="H104" s="4" t="str">
        <f t="shared" si="32"/>
        <v>DishTV DTH Remote</v>
      </c>
      <c r="I104" s="4" t="str">
        <f t="shared" si="19"/>
        <v>DTH/Set Top Box Remote for DishTV DTH/Set Top Box</v>
      </c>
      <c r="J104" s="4" t="str">
        <f t="shared" si="33"/>
        <v>DishTV Set Top Box Remote</v>
      </c>
      <c r="K104" s="4" t="s">
        <v>646</v>
      </c>
      <c r="L104" s="4" t="s">
        <v>646</v>
      </c>
      <c r="M104" s="4" t="s">
        <v>406</v>
      </c>
      <c r="N104" s="4" t="str">
        <f t="shared" si="20"/>
        <v>Compatible DishTV DTH/Set Top Box Remotes</v>
      </c>
      <c r="O104" s="1" t="str">
        <f t="shared" si="21"/>
        <v>Get Any Compatible DishTV DTH/Set Top Box Remotes Easily at Your Door-steps</v>
      </c>
      <c r="P104" s="1" t="str">
        <f t="shared" si="22"/>
        <v>Upix® Compatible DishTV DTH/Set Top Box Remotes</v>
      </c>
      <c r="Q104" s="1" t="str">
        <f t="shared" si="23"/>
        <v>Get Any Upix® Compatible DishTV DTH/Set Top Box Remotes Easily at Your Door-steps</v>
      </c>
      <c r="R104" s="1" t="s">
        <v>643</v>
      </c>
      <c r="S104" s="5" t="str">
        <f t="shared" si="24"/>
        <v>Upix® Compatible DishTV DTH/Set Top Box Remotes</v>
      </c>
      <c r="T104" s="1" t="s">
        <v>644</v>
      </c>
    </row>
    <row r="105" spans="1:20" x14ac:dyDescent="0.3">
      <c r="A105" s="4">
        <v>104</v>
      </c>
      <c r="B105" s="4" t="s">
        <v>1359</v>
      </c>
      <c r="C105" s="4" t="s">
        <v>55</v>
      </c>
      <c r="D105" s="4" t="str">
        <f t="shared" si="31"/>
        <v>Den DTH/Set Top Box</v>
      </c>
      <c r="E105" s="5" t="str">
        <f t="shared" si="16"/>
        <v>Den DTH/Set Top Box Remotes</v>
      </c>
      <c r="F105" s="4" t="str">
        <f t="shared" si="17"/>
        <v>Den DTH/Set Top Box Remote Control</v>
      </c>
      <c r="G105" s="4" t="str">
        <f t="shared" si="18"/>
        <v>Remote for Den DTH/Set Top Box</v>
      </c>
      <c r="H105" s="4" t="str">
        <f t="shared" si="32"/>
        <v>Den DTH Remote</v>
      </c>
      <c r="I105" s="4" t="str">
        <f t="shared" si="19"/>
        <v>DTH/Set Top Box Remote for Den DTH/Set Top Box</v>
      </c>
      <c r="J105" s="4" t="str">
        <f t="shared" si="33"/>
        <v>Den Set Top Box Remote</v>
      </c>
      <c r="K105" s="4" t="s">
        <v>646</v>
      </c>
      <c r="L105" s="4" t="s">
        <v>646</v>
      </c>
      <c r="M105" s="4" t="s">
        <v>407</v>
      </c>
      <c r="N105" s="4" t="str">
        <f t="shared" si="20"/>
        <v>Compatible Den DTH/Set Top Box Remotes</v>
      </c>
      <c r="O105" s="1" t="str">
        <f t="shared" si="21"/>
        <v>Get Any Compatible Den DTH/Set Top Box Remotes Easily at Your Door-steps</v>
      </c>
      <c r="P105" s="1" t="str">
        <f t="shared" si="22"/>
        <v>Upix® Compatible Den DTH/Set Top Box Remotes</v>
      </c>
      <c r="Q105" s="1" t="str">
        <f t="shared" si="23"/>
        <v>Get Any Upix® Compatible Den DTH/Set Top Box Remotes Easily at Your Door-steps</v>
      </c>
      <c r="R105" s="1" t="s">
        <v>643</v>
      </c>
      <c r="S105" s="4" t="str">
        <f t="shared" si="24"/>
        <v>Upix® Compatible Den DTH/Set Top Box Remotes</v>
      </c>
      <c r="T105" s="1" t="s">
        <v>644</v>
      </c>
    </row>
    <row r="106" spans="1:20" x14ac:dyDescent="0.3">
      <c r="A106" s="4">
        <v>105</v>
      </c>
      <c r="B106" s="4" t="s">
        <v>1359</v>
      </c>
      <c r="C106" s="4" t="s">
        <v>1312</v>
      </c>
      <c r="D106" s="4" t="str">
        <f t="shared" si="31"/>
        <v>Doordarshan Free Dish DTH/Set Top Box</v>
      </c>
      <c r="E106" s="4" t="str">
        <f>D106&amp;" Remotes"</f>
        <v>Doordarshan Free Dish DTH/Set Top Box Remotes</v>
      </c>
      <c r="F106" s="4" t="str">
        <f t="shared" si="17"/>
        <v>Doordarshan Free Dish DTH/Set Top Box Remote Control</v>
      </c>
      <c r="G106" s="4" t="str">
        <f t="shared" si="18"/>
        <v>Remote for Doordarshan Free Dish DTH/Set Top Box</v>
      </c>
      <c r="H106" s="4" t="str">
        <f t="shared" si="32"/>
        <v>Doordarshan Free Dish DTH Remote</v>
      </c>
      <c r="I106" s="4" t="str">
        <f t="shared" si="19"/>
        <v>DTH/Set Top Box Remote for Doordarshan Free Dish DTH/Set Top Box</v>
      </c>
      <c r="J106" s="4" t="str">
        <f t="shared" si="33"/>
        <v>Doordarshan Free Dish Set Top Box Remote</v>
      </c>
      <c r="K106" s="4" t="s">
        <v>646</v>
      </c>
      <c r="M106" s="4" t="s">
        <v>407</v>
      </c>
      <c r="N106" s="4" t="str">
        <f t="shared" si="20"/>
        <v>Compatible Doordarshan Free Dish DTH/Set Top Box Remotes</v>
      </c>
      <c r="O106" s="1" t="str">
        <f t="shared" si="21"/>
        <v>Get Any Compatible Doordarshan Free Dish DTH/Set Top Box Remotes Easily at Your Door-steps</v>
      </c>
      <c r="P106" s="1" t="str">
        <f t="shared" si="22"/>
        <v>Upix® Compatible Doordarshan Free Dish DTH/Set Top Box Remotes</v>
      </c>
      <c r="Q106" s="1" t="str">
        <f t="shared" si="23"/>
        <v>Get Any Upix® Compatible Doordarshan Free Dish DTH/Set Top Box Remotes Easily at Your Door-steps</v>
      </c>
      <c r="R106" s="1" t="s">
        <v>643</v>
      </c>
      <c r="S106" s="4" t="str">
        <f t="shared" si="24"/>
        <v>Upix® Compatible Doordarshan Free Dish DTH/Set Top Box Remotes</v>
      </c>
      <c r="T106" s="1" t="s">
        <v>644</v>
      </c>
    </row>
    <row r="107" spans="1:20" x14ac:dyDescent="0.3">
      <c r="A107" s="4">
        <v>106</v>
      </c>
      <c r="B107" s="4" t="s">
        <v>1359</v>
      </c>
      <c r="C107" s="4" t="s">
        <v>56</v>
      </c>
      <c r="D107" s="4" t="str">
        <f t="shared" si="31"/>
        <v>BigTV DTH/Set Top Box</v>
      </c>
      <c r="E107" s="4" t="str">
        <f t="shared" si="16"/>
        <v>BigTV DTH/Set Top Box Remotes</v>
      </c>
      <c r="F107" s="4" t="str">
        <f t="shared" si="17"/>
        <v>BigTV DTH/Set Top Box Remote Control</v>
      </c>
      <c r="G107" s="4" t="str">
        <f t="shared" si="18"/>
        <v>Remote for BigTV DTH/Set Top Box</v>
      </c>
      <c r="H107" s="4" t="str">
        <f t="shared" si="32"/>
        <v>BigTV DTH Remote</v>
      </c>
      <c r="I107" s="4" t="str">
        <f t="shared" si="19"/>
        <v>DTH/Set Top Box Remote for BigTV DTH/Set Top Box</v>
      </c>
      <c r="J107" s="4" t="str">
        <f t="shared" si="33"/>
        <v>BigTV Set Top Box Remote</v>
      </c>
      <c r="K107" s="4" t="s">
        <v>647</v>
      </c>
      <c r="M107" s="4" t="s">
        <v>408</v>
      </c>
      <c r="N107" s="4" t="str">
        <f t="shared" si="20"/>
        <v>Compatible BigTV DTH/Set Top Box Remotes</v>
      </c>
      <c r="O107" s="1" t="str">
        <f t="shared" si="21"/>
        <v>Get Any Compatible BigTV DTH/Set Top Box Remotes Easily at Your Door-steps</v>
      </c>
      <c r="P107" s="1" t="str">
        <f t="shared" si="22"/>
        <v>Upix® Compatible BigTV DTH/Set Top Box Remotes</v>
      </c>
      <c r="Q107" s="1" t="str">
        <f t="shared" si="23"/>
        <v>Get Any Upix® Compatible BigTV DTH/Set Top Box Remotes Easily at Your Door-steps</v>
      </c>
      <c r="R107" s="1" t="s">
        <v>643</v>
      </c>
      <c r="S107" s="4" t="str">
        <f t="shared" si="24"/>
        <v>Upix® Compatible BigTV DTH/Set Top Box Remotes</v>
      </c>
      <c r="T107" s="1" t="s">
        <v>644</v>
      </c>
    </row>
    <row r="108" spans="1:20" x14ac:dyDescent="0.3">
      <c r="A108" s="4">
        <v>107</v>
      </c>
      <c r="B108" s="4" t="s">
        <v>1359</v>
      </c>
      <c r="C108" s="4" t="s">
        <v>57</v>
      </c>
      <c r="D108" s="4" t="str">
        <f t="shared" si="31"/>
        <v>Hathway DTH/Set Top Box</v>
      </c>
      <c r="E108" s="5" t="str">
        <f t="shared" si="16"/>
        <v>Hathway DTH/Set Top Box Remotes</v>
      </c>
      <c r="F108" s="4" t="str">
        <f t="shared" si="17"/>
        <v>Hathway DTH/Set Top Box Remote Control</v>
      </c>
      <c r="G108" s="4" t="str">
        <f t="shared" si="18"/>
        <v>Remote for Hathway DTH/Set Top Box</v>
      </c>
      <c r="H108" s="4" t="str">
        <f t="shared" si="32"/>
        <v>Hathway DTH Remote</v>
      </c>
      <c r="I108" s="4" t="str">
        <f t="shared" si="19"/>
        <v>DTH/Set Top Box Remote for Hathway DTH/Set Top Box</v>
      </c>
      <c r="J108" s="4" t="str">
        <f t="shared" si="33"/>
        <v>Hathway Set Top Box Remote</v>
      </c>
      <c r="K108" s="4" t="s">
        <v>646</v>
      </c>
      <c r="M108" s="4" t="s">
        <v>409</v>
      </c>
      <c r="N108" s="4" t="str">
        <f t="shared" si="20"/>
        <v>Compatible Hathway DTH/Set Top Box Remotes</v>
      </c>
      <c r="O108" s="1" t="str">
        <f t="shared" si="21"/>
        <v>Get Any Compatible Hathway DTH/Set Top Box Remotes Easily at Your Door-steps</v>
      </c>
      <c r="P108" s="1" t="str">
        <f t="shared" si="22"/>
        <v>Upix® Compatible Hathway DTH/Set Top Box Remotes</v>
      </c>
      <c r="Q108" s="1" t="str">
        <f t="shared" si="23"/>
        <v>Get Any Upix® Compatible Hathway DTH/Set Top Box Remotes Easily at Your Door-steps</v>
      </c>
      <c r="R108" s="1" t="s">
        <v>643</v>
      </c>
      <c r="S108" s="4" t="str">
        <f t="shared" si="24"/>
        <v>Upix® Compatible Hathway DTH/Set Top Box Remotes</v>
      </c>
      <c r="T108" s="1" t="s">
        <v>644</v>
      </c>
    </row>
    <row r="109" spans="1:20" x14ac:dyDescent="0.3">
      <c r="A109" s="4">
        <v>108</v>
      </c>
      <c r="B109" s="4" t="s">
        <v>1359</v>
      </c>
      <c r="C109" s="4" t="s">
        <v>62</v>
      </c>
      <c r="D109" s="4" t="str">
        <f t="shared" si="31"/>
        <v>NXT Digital DTH/Set Top Box</v>
      </c>
      <c r="E109" s="5" t="str">
        <f t="shared" si="16"/>
        <v>NXT Digital DTH/Set Top Box Remotes</v>
      </c>
      <c r="F109" s="4" t="str">
        <f t="shared" si="17"/>
        <v>NXT Digital DTH/Set Top Box Remote Control</v>
      </c>
      <c r="G109" s="4" t="str">
        <f t="shared" si="18"/>
        <v>Remote for NXT Digital DTH/Set Top Box</v>
      </c>
      <c r="H109" s="4" t="str">
        <f t="shared" si="32"/>
        <v>NXT Digital DTH Remote</v>
      </c>
      <c r="I109" s="4" t="str">
        <f t="shared" si="19"/>
        <v>DTH/Set Top Box Remote for NXT Digital DTH/Set Top Box</v>
      </c>
      <c r="J109" s="4" t="str">
        <f t="shared" si="33"/>
        <v>NXT Digital Set Top Box Remote</v>
      </c>
      <c r="K109" s="4" t="s">
        <v>646</v>
      </c>
      <c r="M109" s="4" t="s">
        <v>410</v>
      </c>
      <c r="N109" s="4" t="str">
        <f t="shared" si="20"/>
        <v>Compatible NXT Digital DTH/Set Top Box Remotes</v>
      </c>
      <c r="O109" s="1" t="str">
        <f t="shared" si="21"/>
        <v>Get Any Compatible NXT Digital DTH/Set Top Box Remotes Easily at Your Door-steps</v>
      </c>
      <c r="P109" s="1" t="str">
        <f t="shared" si="22"/>
        <v>Upix® Compatible NXT Digital DTH/Set Top Box Remotes</v>
      </c>
      <c r="Q109" s="1" t="str">
        <f t="shared" si="23"/>
        <v>Get Any Upix® Compatible NXT Digital DTH/Set Top Box Remotes Easily at Your Door-steps</v>
      </c>
      <c r="R109" s="1" t="s">
        <v>643</v>
      </c>
      <c r="S109" s="4" t="str">
        <f t="shared" si="24"/>
        <v>Upix® Compatible NXT Digital DTH/Set Top Box Remotes</v>
      </c>
      <c r="T109" s="1" t="s">
        <v>644</v>
      </c>
    </row>
    <row r="110" spans="1:20" x14ac:dyDescent="0.3">
      <c r="A110" s="4">
        <v>109</v>
      </c>
      <c r="B110" s="4" t="s">
        <v>1359</v>
      </c>
      <c r="C110" s="4" t="s">
        <v>58</v>
      </c>
      <c r="D110" s="4" t="str">
        <f t="shared" si="31"/>
        <v>SSDN DTH/Set Top Box</v>
      </c>
      <c r="E110" s="5" t="str">
        <f t="shared" si="16"/>
        <v>SSDN DTH/Set Top Box Remotes</v>
      </c>
      <c r="F110" s="4" t="str">
        <f t="shared" si="17"/>
        <v>SSDN DTH/Set Top Box Remote Control</v>
      </c>
      <c r="G110" s="4" t="str">
        <f t="shared" si="18"/>
        <v>Remote for SSDN DTH/Set Top Box</v>
      </c>
      <c r="H110" s="4" t="str">
        <f t="shared" si="32"/>
        <v>SSDN DTH Remote</v>
      </c>
      <c r="I110" s="4" t="str">
        <f t="shared" si="19"/>
        <v>DTH/Set Top Box Remote for SSDN DTH/Set Top Box</v>
      </c>
      <c r="J110" s="4" t="str">
        <f t="shared" si="33"/>
        <v>SSDN Set Top Box Remote</v>
      </c>
      <c r="K110" s="4" t="s">
        <v>647</v>
      </c>
      <c r="M110" s="4" t="s">
        <v>411</v>
      </c>
      <c r="N110" s="4" t="str">
        <f t="shared" si="20"/>
        <v>Compatible SSDN DTH/Set Top Box Remotes</v>
      </c>
      <c r="O110" s="1" t="str">
        <f t="shared" si="21"/>
        <v>Get Any Compatible SSDN DTH/Set Top Box Remotes Easily at Your Door-steps</v>
      </c>
      <c r="P110" s="1" t="str">
        <f t="shared" si="22"/>
        <v>Upix® Compatible SSDN DTH/Set Top Box Remotes</v>
      </c>
      <c r="Q110" s="1" t="str">
        <f t="shared" si="23"/>
        <v>Get Any Upix® Compatible SSDN DTH/Set Top Box Remotes Easily at Your Door-steps</v>
      </c>
      <c r="R110" s="1" t="s">
        <v>643</v>
      </c>
      <c r="S110" s="4" t="str">
        <f t="shared" si="24"/>
        <v>Upix® Compatible SSDN DTH/Set Top Box Remotes</v>
      </c>
      <c r="T110" s="1" t="s">
        <v>644</v>
      </c>
    </row>
    <row r="111" spans="1:20" x14ac:dyDescent="0.3">
      <c r="A111" s="4">
        <v>110</v>
      </c>
      <c r="B111" s="4" t="s">
        <v>1359</v>
      </c>
      <c r="C111" s="4" t="s">
        <v>59</v>
      </c>
      <c r="D111" s="4" t="str">
        <f t="shared" si="31"/>
        <v>OCC DTH/Set Top Box</v>
      </c>
      <c r="E111" s="5" t="str">
        <f t="shared" si="16"/>
        <v>OCC DTH/Set Top Box Remotes</v>
      </c>
      <c r="F111" s="4" t="str">
        <f t="shared" si="17"/>
        <v>OCC DTH/Set Top Box Remote Control</v>
      </c>
      <c r="G111" s="4" t="str">
        <f t="shared" si="18"/>
        <v>Remote for OCC DTH/Set Top Box</v>
      </c>
      <c r="H111" s="4" t="str">
        <f t="shared" si="32"/>
        <v>OCC DTH Remote</v>
      </c>
      <c r="I111" s="4" t="str">
        <f t="shared" si="19"/>
        <v>DTH/Set Top Box Remote for OCC DTH/Set Top Box</v>
      </c>
      <c r="J111" s="4" t="str">
        <f t="shared" si="33"/>
        <v>OCC Set Top Box Remote</v>
      </c>
      <c r="K111" s="4" t="s">
        <v>647</v>
      </c>
      <c r="M111" s="4" t="s">
        <v>412</v>
      </c>
      <c r="N111" s="4" t="str">
        <f t="shared" si="20"/>
        <v>Compatible OCC DTH/Set Top Box Remotes</v>
      </c>
      <c r="O111" s="1" t="str">
        <f t="shared" si="21"/>
        <v>Get Any Compatible OCC DTH/Set Top Box Remotes Easily at Your Door-steps</v>
      </c>
      <c r="P111" s="1" t="str">
        <f t="shared" si="22"/>
        <v>Upix® Compatible OCC DTH/Set Top Box Remotes</v>
      </c>
      <c r="Q111" s="1" t="str">
        <f t="shared" si="23"/>
        <v>Get Any Upix® Compatible OCC DTH/Set Top Box Remotes Easily at Your Door-steps</v>
      </c>
      <c r="R111" s="1" t="s">
        <v>643</v>
      </c>
      <c r="S111" s="4" t="str">
        <f t="shared" si="24"/>
        <v>Upix® Compatible OCC DTH/Set Top Box Remotes</v>
      </c>
      <c r="T111" s="1" t="s">
        <v>644</v>
      </c>
    </row>
    <row r="112" spans="1:20" x14ac:dyDescent="0.3">
      <c r="A112" s="4">
        <v>111</v>
      </c>
      <c r="B112" s="4" t="s">
        <v>1359</v>
      </c>
      <c r="C112" s="4" t="s">
        <v>60</v>
      </c>
      <c r="D112" s="4" t="str">
        <f t="shared" si="31"/>
        <v>Sun Direct DTH/Set Top Box</v>
      </c>
      <c r="E112" s="5" t="str">
        <f t="shared" si="16"/>
        <v>Sun Direct DTH/Set Top Box Remotes</v>
      </c>
      <c r="F112" s="4" t="str">
        <f t="shared" si="17"/>
        <v>Sun Direct DTH/Set Top Box Remote Control</v>
      </c>
      <c r="G112" s="4" t="str">
        <f t="shared" si="18"/>
        <v>Remote for Sun Direct DTH/Set Top Box</v>
      </c>
      <c r="H112" s="4" t="str">
        <f t="shared" si="32"/>
        <v>Sun Direct DTH Remote</v>
      </c>
      <c r="I112" s="4" t="str">
        <f t="shared" si="19"/>
        <v>DTH/Set Top Box Remote for Sun Direct DTH/Set Top Box</v>
      </c>
      <c r="J112" s="4" t="str">
        <f t="shared" si="33"/>
        <v>Sun Direct Set Top Box Remote</v>
      </c>
      <c r="K112" s="4" t="s">
        <v>646</v>
      </c>
      <c r="M112" s="4" t="s">
        <v>413</v>
      </c>
      <c r="N112" s="4" t="str">
        <f t="shared" si="20"/>
        <v>Compatible Sun Direct DTH/Set Top Box Remotes</v>
      </c>
      <c r="O112" s="1" t="str">
        <f t="shared" si="21"/>
        <v>Get Any Compatible Sun Direct DTH/Set Top Box Remotes Easily at Your Door-steps</v>
      </c>
      <c r="P112" s="1" t="str">
        <f t="shared" si="22"/>
        <v>Upix® Compatible Sun Direct DTH/Set Top Box Remotes</v>
      </c>
      <c r="Q112" s="1" t="str">
        <f t="shared" si="23"/>
        <v>Get Any Upix® Compatible Sun Direct DTH/Set Top Box Remotes Easily at Your Door-steps</v>
      </c>
      <c r="R112" s="1" t="s">
        <v>643</v>
      </c>
      <c r="S112" s="4" t="str">
        <f t="shared" si="24"/>
        <v>Upix® Compatible Sun Direct DTH/Set Top Box Remotes</v>
      </c>
      <c r="T112" s="1" t="s">
        <v>644</v>
      </c>
    </row>
    <row r="113" spans="1:20" x14ac:dyDescent="0.3">
      <c r="A113" s="4">
        <v>112</v>
      </c>
      <c r="B113" s="4" t="s">
        <v>1359</v>
      </c>
      <c r="C113" s="4" t="s">
        <v>61</v>
      </c>
      <c r="D113" s="4" t="str">
        <f t="shared" si="31"/>
        <v>Siti Cable DTH/Set Top Box</v>
      </c>
      <c r="E113" s="5" t="str">
        <f t="shared" si="16"/>
        <v>Siti Cable DTH/Set Top Box Remotes</v>
      </c>
      <c r="F113" s="4" t="str">
        <f t="shared" si="17"/>
        <v>Siti Cable DTH/Set Top Box Remote Control</v>
      </c>
      <c r="G113" s="4" t="str">
        <f t="shared" si="18"/>
        <v>Remote for Siti Cable DTH/Set Top Box</v>
      </c>
      <c r="H113" s="4" t="str">
        <f t="shared" si="32"/>
        <v>Siti Cable DTH Remote</v>
      </c>
      <c r="I113" s="4" t="str">
        <f t="shared" si="19"/>
        <v>DTH/Set Top Box Remote for Siti Cable DTH/Set Top Box</v>
      </c>
      <c r="J113" s="4" t="str">
        <f t="shared" si="33"/>
        <v>Siti Cable Set Top Box Remote</v>
      </c>
      <c r="K113" s="4" t="s">
        <v>646</v>
      </c>
      <c r="M113" s="4" t="s">
        <v>414</v>
      </c>
      <c r="N113" s="4" t="str">
        <f t="shared" si="20"/>
        <v>Compatible Siti Cable DTH/Set Top Box Remotes</v>
      </c>
      <c r="O113" s="1" t="str">
        <f t="shared" si="21"/>
        <v>Get Any Compatible Siti Cable DTH/Set Top Box Remotes Easily at Your Door-steps</v>
      </c>
      <c r="P113" s="1" t="str">
        <f t="shared" si="22"/>
        <v>Upix® Compatible Siti Cable DTH/Set Top Box Remotes</v>
      </c>
      <c r="Q113" s="1" t="str">
        <f t="shared" si="23"/>
        <v>Get Any Upix® Compatible Siti Cable DTH/Set Top Box Remotes Easily at Your Door-steps</v>
      </c>
      <c r="R113" s="1" t="s">
        <v>643</v>
      </c>
      <c r="S113" s="4" t="str">
        <f t="shared" si="24"/>
        <v>Upix® Compatible Siti Cable DTH/Set Top Box Remotes</v>
      </c>
      <c r="T113" s="1" t="s">
        <v>644</v>
      </c>
    </row>
    <row r="114" spans="1:20" x14ac:dyDescent="0.3">
      <c r="A114" s="4">
        <v>113</v>
      </c>
      <c r="B114" s="4" t="s">
        <v>1359</v>
      </c>
      <c r="C114" s="4" t="s">
        <v>63</v>
      </c>
      <c r="D114" s="4" t="str">
        <f t="shared" si="31"/>
        <v>Tata Sky DTH/Set Top Box</v>
      </c>
      <c r="E114" s="5" t="str">
        <f t="shared" si="16"/>
        <v>Tata Sky DTH/Set Top Box Remotes</v>
      </c>
      <c r="F114" s="4" t="str">
        <f t="shared" si="17"/>
        <v>Tata Sky DTH/Set Top Box Remote Control</v>
      </c>
      <c r="G114" s="4" t="str">
        <f t="shared" si="18"/>
        <v>Remote for Tata Sky DTH/Set Top Box</v>
      </c>
      <c r="H114" s="4" t="str">
        <f t="shared" si="32"/>
        <v>Tata Sky DTH Remote</v>
      </c>
      <c r="I114" s="4" t="str">
        <f t="shared" si="19"/>
        <v>DTH/Set Top Box Remote for Tata Sky DTH/Set Top Box</v>
      </c>
      <c r="J114" s="4" t="str">
        <f t="shared" si="33"/>
        <v>Tata Sky Set Top Box Remote</v>
      </c>
      <c r="K114" s="4" t="s">
        <v>646</v>
      </c>
      <c r="L114" s="4" t="s">
        <v>646</v>
      </c>
      <c r="M114" s="4" t="s">
        <v>415</v>
      </c>
      <c r="N114" s="4" t="str">
        <f t="shared" si="20"/>
        <v>Compatible Tata Sky DTH/Set Top Box Remotes</v>
      </c>
      <c r="O114" s="1" t="str">
        <f t="shared" si="21"/>
        <v>Get Any Compatible Tata Sky DTH/Set Top Box Remotes Easily at Your Door-steps</v>
      </c>
      <c r="P114" s="1" t="str">
        <f t="shared" si="22"/>
        <v>Upix® Compatible Tata Sky DTH/Set Top Box Remotes</v>
      </c>
      <c r="Q114" s="1" t="str">
        <f t="shared" si="23"/>
        <v>Get Any Upix® Compatible Tata Sky DTH/Set Top Box Remotes Easily at Your Door-steps</v>
      </c>
      <c r="R114" s="1" t="s">
        <v>643</v>
      </c>
      <c r="S114" s="5" t="str">
        <f t="shared" si="24"/>
        <v>Upix® Compatible Tata Sky DTH/Set Top Box Remotes</v>
      </c>
      <c r="T114" s="1" t="s">
        <v>644</v>
      </c>
    </row>
    <row r="115" spans="1:20" x14ac:dyDescent="0.3">
      <c r="A115" s="4">
        <v>114</v>
      </c>
      <c r="B115" s="4" t="s">
        <v>1359</v>
      </c>
      <c r="C115" s="4" t="s">
        <v>9</v>
      </c>
      <c r="D115" s="4" t="str">
        <f t="shared" si="31"/>
        <v>Videocon DTH/Set Top Box</v>
      </c>
      <c r="E115" s="5" t="str">
        <f t="shared" si="16"/>
        <v>Videocon DTH/Set Top Box Remotes</v>
      </c>
      <c r="F115" s="4" t="str">
        <f t="shared" si="17"/>
        <v>Videocon DTH/Set Top Box Remote Control</v>
      </c>
      <c r="G115" s="4" t="str">
        <f t="shared" si="18"/>
        <v>Remote for Videocon DTH/Set Top Box</v>
      </c>
      <c r="H115" s="4" t="str">
        <f t="shared" si="32"/>
        <v>Videocon DTH Remote</v>
      </c>
      <c r="I115" s="4" t="str">
        <f t="shared" si="19"/>
        <v>DTH/Set Top Box Remote for Videocon DTH/Set Top Box</v>
      </c>
      <c r="J115" s="4" t="str">
        <f t="shared" si="33"/>
        <v>Videocon Set Top Box Remote</v>
      </c>
      <c r="K115" s="4" t="s">
        <v>646</v>
      </c>
      <c r="L115" s="4" t="s">
        <v>646</v>
      </c>
      <c r="M115" s="4" t="s">
        <v>416</v>
      </c>
      <c r="N115" s="4" t="str">
        <f t="shared" si="20"/>
        <v>Compatible Videocon DTH/Set Top Box Remotes</v>
      </c>
      <c r="O115" s="1" t="str">
        <f t="shared" si="21"/>
        <v>Get Any Compatible Videocon DTH/Set Top Box Remotes Easily at Your Door-steps</v>
      </c>
      <c r="P115" s="1" t="str">
        <f t="shared" si="22"/>
        <v>Upix® Compatible Videocon DTH/Set Top Box Remotes</v>
      </c>
      <c r="Q115" s="1" t="str">
        <f t="shared" si="23"/>
        <v>Get Any Upix® Compatible Videocon DTH/Set Top Box Remotes Easily at Your Door-steps</v>
      </c>
      <c r="R115" s="1" t="s">
        <v>643</v>
      </c>
      <c r="S115" s="5" t="str">
        <f t="shared" si="24"/>
        <v>Upix® Compatible Videocon DTH/Set Top Box Remotes</v>
      </c>
      <c r="T115" s="1" t="s">
        <v>644</v>
      </c>
    </row>
    <row r="116" spans="1:20" x14ac:dyDescent="0.3">
      <c r="A116" s="4">
        <v>115</v>
      </c>
      <c r="B116" s="4" t="s">
        <v>1359</v>
      </c>
      <c r="C116" s="4" t="s">
        <v>72</v>
      </c>
      <c r="D116" s="4" t="str">
        <f t="shared" si="31"/>
        <v>MCBS DTH/Set Top Box</v>
      </c>
      <c r="E116" s="5" t="str">
        <f t="shared" si="16"/>
        <v>MCBS DTH/Set Top Box Remotes</v>
      </c>
      <c r="F116" s="4" t="str">
        <f t="shared" si="17"/>
        <v>MCBS DTH/Set Top Box Remote Control</v>
      </c>
      <c r="G116" s="4" t="str">
        <f t="shared" si="18"/>
        <v>Remote for MCBS DTH/Set Top Box</v>
      </c>
      <c r="H116" s="4" t="str">
        <f t="shared" si="32"/>
        <v>MCBS DTH Remote</v>
      </c>
      <c r="I116" s="4" t="str">
        <f t="shared" si="19"/>
        <v>DTH/Set Top Box Remote for MCBS DTH/Set Top Box</v>
      </c>
      <c r="J116" s="4" t="str">
        <f t="shared" si="33"/>
        <v>MCBS Set Top Box Remote</v>
      </c>
      <c r="K116" s="4" t="s">
        <v>647</v>
      </c>
      <c r="M116" s="4" t="s">
        <v>417</v>
      </c>
      <c r="N116" s="4" t="str">
        <f t="shared" si="20"/>
        <v>Compatible MCBS DTH/Set Top Box Remotes</v>
      </c>
      <c r="O116" s="1" t="str">
        <f t="shared" si="21"/>
        <v>Get Any Compatible MCBS DTH/Set Top Box Remotes Easily at Your Door-steps</v>
      </c>
      <c r="P116" s="1" t="str">
        <f t="shared" si="22"/>
        <v>Upix® Compatible MCBS DTH/Set Top Box Remotes</v>
      </c>
      <c r="Q116" s="1" t="str">
        <f t="shared" si="23"/>
        <v>Get Any Upix® Compatible MCBS DTH/Set Top Box Remotes Easily at Your Door-steps</v>
      </c>
      <c r="R116" s="1" t="s">
        <v>643</v>
      </c>
      <c r="S116" s="4" t="str">
        <f t="shared" si="24"/>
        <v>Upix® Compatible MCBS DTH/Set Top Box Remotes</v>
      </c>
      <c r="T116" s="1" t="s">
        <v>644</v>
      </c>
    </row>
    <row r="117" spans="1:20" x14ac:dyDescent="0.3">
      <c r="A117" s="4">
        <v>116</v>
      </c>
      <c r="B117" s="4" t="s">
        <v>1359</v>
      </c>
      <c r="C117" s="4" t="s">
        <v>73</v>
      </c>
      <c r="D117" s="4" t="str">
        <f t="shared" si="31"/>
        <v>Videocon DDB DTH/Set Top Box</v>
      </c>
      <c r="E117" s="5" t="str">
        <f t="shared" si="16"/>
        <v>Videocon DDB DTH/Set Top Box Remotes</v>
      </c>
      <c r="F117" s="4" t="str">
        <f t="shared" si="17"/>
        <v>Videocon DDB DTH/Set Top Box Remote Control</v>
      </c>
      <c r="G117" s="4" t="str">
        <f t="shared" si="18"/>
        <v>Remote for Videocon DDB DTH/Set Top Box</v>
      </c>
      <c r="H117" s="4" t="str">
        <f t="shared" si="32"/>
        <v>Videocon DDB DTH Remote</v>
      </c>
      <c r="I117" s="4" t="str">
        <f t="shared" si="19"/>
        <v>DTH/Set Top Box Remote for Videocon DDB DTH/Set Top Box</v>
      </c>
      <c r="J117" s="4" t="str">
        <f t="shared" si="33"/>
        <v>Videocon DDB Set Top Box Remote</v>
      </c>
      <c r="K117" s="4" t="s">
        <v>646</v>
      </c>
      <c r="M117" s="4" t="s">
        <v>418</v>
      </c>
      <c r="N117" s="4" t="str">
        <f t="shared" si="20"/>
        <v>Compatible Videocon DDB DTH/Set Top Box Remotes</v>
      </c>
      <c r="O117" s="1" t="str">
        <f t="shared" si="21"/>
        <v>Get Any Compatible Videocon DDB DTH/Set Top Box Remotes Easily at Your Door-steps</v>
      </c>
      <c r="P117" s="1" t="str">
        <f t="shared" si="22"/>
        <v>Upix® Compatible Videocon DDB DTH/Set Top Box Remotes</v>
      </c>
      <c r="Q117" s="1" t="str">
        <f t="shared" si="23"/>
        <v>Get Any Upix® Compatible Videocon DDB DTH/Set Top Box Remotes Easily at Your Door-steps</v>
      </c>
      <c r="R117" s="1" t="s">
        <v>643</v>
      </c>
      <c r="S117" s="4" t="str">
        <f t="shared" si="24"/>
        <v>Upix® Compatible Videocon DDB DTH/Set Top Box Remotes</v>
      </c>
      <c r="T117" s="1" t="s">
        <v>644</v>
      </c>
    </row>
    <row r="118" spans="1:20" x14ac:dyDescent="0.3">
      <c r="A118" s="4">
        <v>117</v>
      </c>
      <c r="B118" s="4" t="s">
        <v>1359</v>
      </c>
      <c r="C118" s="4" t="s">
        <v>428</v>
      </c>
      <c r="D118" s="4" t="str">
        <f t="shared" si="31"/>
        <v>Sansui DDB DTH/Set Top Box</v>
      </c>
      <c r="E118" s="5" t="str">
        <f t="shared" si="16"/>
        <v>Sansui DDB DTH/Set Top Box Remotes</v>
      </c>
      <c r="F118" s="4" t="str">
        <f t="shared" si="17"/>
        <v>Sansui DDB DTH/Set Top Box Remote Control</v>
      </c>
      <c r="G118" s="4" t="str">
        <f t="shared" si="18"/>
        <v>Remote for Sansui DDB DTH/Set Top Box</v>
      </c>
      <c r="H118" s="4" t="str">
        <f t="shared" si="32"/>
        <v>Sansui DDB DTH Remote</v>
      </c>
      <c r="I118" s="4" t="str">
        <f t="shared" si="19"/>
        <v>DTH/Set Top Box Remote for Sansui DDB DTH/Set Top Box</v>
      </c>
      <c r="J118" s="4" t="str">
        <f t="shared" si="33"/>
        <v>Sansui DDB Set Top Box Remote</v>
      </c>
      <c r="K118" s="4" t="s">
        <v>647</v>
      </c>
      <c r="M118" s="4" t="s">
        <v>429</v>
      </c>
      <c r="N118" s="4" t="str">
        <f t="shared" si="20"/>
        <v>Compatible Sansui DDB DTH/Set Top Box Remotes</v>
      </c>
      <c r="O118" s="1" t="str">
        <f t="shared" si="21"/>
        <v>Get Any Compatible Sansui DDB DTH/Set Top Box Remotes Easily at Your Door-steps</v>
      </c>
      <c r="P118" s="1" t="str">
        <f t="shared" si="22"/>
        <v>Upix® Compatible Sansui DDB DTH/Set Top Box Remotes</v>
      </c>
      <c r="Q118" s="1" t="str">
        <f t="shared" si="23"/>
        <v>Get Any Upix® Compatible Sansui DDB DTH/Set Top Box Remotes Easily at Your Door-steps</v>
      </c>
      <c r="R118" s="1" t="s">
        <v>643</v>
      </c>
      <c r="S118" s="4" t="str">
        <f t="shared" si="24"/>
        <v>Upix® Compatible Sansui DDB DTH/Set Top Box Remotes</v>
      </c>
      <c r="T118" s="1" t="s">
        <v>644</v>
      </c>
    </row>
    <row r="119" spans="1:20" x14ac:dyDescent="0.3">
      <c r="A119" s="4">
        <v>118</v>
      </c>
      <c r="B119" s="4" t="s">
        <v>1359</v>
      </c>
      <c r="C119" s="4" t="s">
        <v>433</v>
      </c>
      <c r="D119" s="4" t="str">
        <f t="shared" si="31"/>
        <v>Philips DDB DTH/Set Top Box</v>
      </c>
      <c r="E119" s="5" t="str">
        <f t="shared" si="16"/>
        <v>Philips DDB DTH/Set Top Box Remotes</v>
      </c>
      <c r="F119" s="4" t="str">
        <f t="shared" si="17"/>
        <v>Philips DDB DTH/Set Top Box Remote Control</v>
      </c>
      <c r="G119" s="4" t="str">
        <f t="shared" si="18"/>
        <v>Remote for Philips DDB DTH/Set Top Box</v>
      </c>
      <c r="H119" s="4" t="str">
        <f t="shared" si="32"/>
        <v>Philips DDB DTH Remote</v>
      </c>
      <c r="I119" s="4" t="str">
        <f t="shared" si="19"/>
        <v>DTH/Set Top Box Remote for Philips DDB DTH/Set Top Box</v>
      </c>
      <c r="J119" s="4" t="str">
        <f t="shared" si="33"/>
        <v>Philips DDB Set Top Box Remote</v>
      </c>
      <c r="K119" s="4" t="s">
        <v>646</v>
      </c>
      <c r="M119" s="4" t="s">
        <v>434</v>
      </c>
      <c r="N119" s="4" t="str">
        <f t="shared" si="20"/>
        <v>Compatible Philips DDB DTH/Set Top Box Remotes</v>
      </c>
      <c r="O119" s="1" t="str">
        <f t="shared" si="21"/>
        <v>Get Any Compatible Philips DDB DTH/Set Top Box Remotes Easily at Your Door-steps</v>
      </c>
      <c r="P119" s="1" t="str">
        <f t="shared" si="22"/>
        <v>Upix® Compatible Philips DDB DTH/Set Top Box Remotes</v>
      </c>
      <c r="Q119" s="1" t="str">
        <f t="shared" si="23"/>
        <v>Get Any Upix® Compatible Philips DDB DTH/Set Top Box Remotes Easily at Your Door-steps</v>
      </c>
      <c r="R119" s="1" t="s">
        <v>643</v>
      </c>
      <c r="S119" s="4" t="str">
        <f t="shared" si="24"/>
        <v>Upix® Compatible Philips DDB DTH/Set Top Box Remotes</v>
      </c>
      <c r="T119" s="1" t="s">
        <v>644</v>
      </c>
    </row>
    <row r="120" spans="1:20" x14ac:dyDescent="0.3">
      <c r="A120" s="4">
        <v>119</v>
      </c>
      <c r="B120" s="4" t="s">
        <v>1359</v>
      </c>
      <c r="C120" s="4" t="s">
        <v>572</v>
      </c>
      <c r="D120" s="4" t="str">
        <f t="shared" si="31"/>
        <v>Reliance Jio DTH/Set Top Box</v>
      </c>
      <c r="E120" s="5" t="str">
        <f t="shared" si="16"/>
        <v>Reliance Jio DTH/Set Top Box Remotes</v>
      </c>
      <c r="F120" s="4" t="str">
        <f t="shared" si="17"/>
        <v>Reliance Jio DTH/Set Top Box Remote Control</v>
      </c>
      <c r="G120" s="4" t="str">
        <f t="shared" si="18"/>
        <v>Remote for Reliance Jio DTH/Set Top Box</v>
      </c>
      <c r="H120" s="4" t="str">
        <f t="shared" si="32"/>
        <v>Reliance Jio DTH Remote</v>
      </c>
      <c r="I120" s="4" t="str">
        <f t="shared" si="19"/>
        <v>DTH/Set Top Box Remote for Reliance Jio DTH/Set Top Box</v>
      </c>
      <c r="J120" s="4" t="str">
        <f t="shared" si="33"/>
        <v>Reliance Jio Set Top Box Remote</v>
      </c>
      <c r="K120" s="4" t="s">
        <v>647</v>
      </c>
      <c r="M120" s="4" t="s">
        <v>576</v>
      </c>
      <c r="N120" s="4" t="str">
        <f t="shared" si="20"/>
        <v>Compatible Reliance Jio DTH/Set Top Box Remotes</v>
      </c>
      <c r="O120" s="1" t="str">
        <f t="shared" si="21"/>
        <v>Get Any Compatible Reliance Jio DTH/Set Top Box Remotes Easily at Your Door-steps</v>
      </c>
      <c r="P120" s="1" t="str">
        <f t="shared" si="22"/>
        <v>Upix® Compatible Reliance Jio DTH/Set Top Box Remotes</v>
      </c>
      <c r="Q120" s="1" t="str">
        <f t="shared" si="23"/>
        <v>Get Any Upix® Compatible Reliance Jio DTH/Set Top Box Remotes Easily at Your Door-steps</v>
      </c>
      <c r="R120" s="1" t="s">
        <v>643</v>
      </c>
      <c r="S120" s="4" t="str">
        <f t="shared" si="24"/>
        <v>Upix® Compatible Reliance Jio DTH/Set Top Box Remotes</v>
      </c>
      <c r="T120" s="1" t="s">
        <v>644</v>
      </c>
    </row>
    <row r="121" spans="1:20" x14ac:dyDescent="0.3">
      <c r="A121" s="4">
        <v>120</v>
      </c>
      <c r="B121" s="4" t="s">
        <v>1359</v>
      </c>
      <c r="C121" s="4" t="s">
        <v>573</v>
      </c>
      <c r="D121" s="4" t="str">
        <f t="shared" si="31"/>
        <v>Airtel Xstream DTH/Set Top Box</v>
      </c>
      <c r="E121" s="5" t="str">
        <f t="shared" si="16"/>
        <v>Airtel Xstream DTH/Set Top Box Remotes</v>
      </c>
      <c r="F121" s="4" t="str">
        <f t="shared" si="17"/>
        <v>Airtel Xstream DTH/Set Top Box Remote Control</v>
      </c>
      <c r="G121" s="4" t="str">
        <f t="shared" si="18"/>
        <v>Remote for Airtel Xstream DTH/Set Top Box</v>
      </c>
      <c r="H121" s="4" t="str">
        <f t="shared" si="32"/>
        <v>Airtel Xstream DTH Remote</v>
      </c>
      <c r="I121" s="4" t="str">
        <f t="shared" si="19"/>
        <v>DTH/Set Top Box Remote for Airtel Xstream DTH/Set Top Box</v>
      </c>
      <c r="J121" s="4" t="str">
        <f t="shared" si="33"/>
        <v>Airtel Xstream Set Top Box Remote</v>
      </c>
      <c r="K121" s="4" t="s">
        <v>646</v>
      </c>
      <c r="M121" s="4" t="s">
        <v>575</v>
      </c>
      <c r="N121" s="4" t="str">
        <f t="shared" si="20"/>
        <v>Compatible Airtel Xstream DTH/Set Top Box Remotes</v>
      </c>
      <c r="O121" s="1" t="str">
        <f t="shared" si="21"/>
        <v>Get Any Compatible Airtel Xstream DTH/Set Top Box Remotes Easily at Your Door-steps</v>
      </c>
      <c r="P121" s="1" t="str">
        <f t="shared" si="22"/>
        <v>Upix® Compatible Airtel Xstream DTH/Set Top Box Remotes</v>
      </c>
      <c r="Q121" s="1" t="str">
        <f t="shared" si="23"/>
        <v>Get Any Upix® Compatible Airtel Xstream DTH/Set Top Box Remotes Easily at Your Door-steps</v>
      </c>
      <c r="R121" s="1" t="s">
        <v>643</v>
      </c>
      <c r="S121" s="4" t="str">
        <f t="shared" si="24"/>
        <v>Upix® Compatible Airtel Xstream DTH/Set Top Box Remotes</v>
      </c>
      <c r="T121" s="1" t="s">
        <v>644</v>
      </c>
    </row>
    <row r="122" spans="1:20" x14ac:dyDescent="0.3">
      <c r="A122" s="4">
        <v>121</v>
      </c>
      <c r="B122" s="4" t="s">
        <v>1359</v>
      </c>
      <c r="C122" s="4" t="s">
        <v>574</v>
      </c>
      <c r="D122" s="4" t="str">
        <f t="shared" si="31"/>
        <v>DVB Free Dish DTH/Set Top Box</v>
      </c>
      <c r="E122" s="5" t="str">
        <f t="shared" si="16"/>
        <v>DVB Free Dish DTH/Set Top Box Remotes</v>
      </c>
      <c r="F122" s="4" t="str">
        <f t="shared" si="17"/>
        <v>DVB Free Dish DTH/Set Top Box Remote Control</v>
      </c>
      <c r="G122" s="4" t="str">
        <f t="shared" si="18"/>
        <v>Remote for DVB Free Dish DTH/Set Top Box</v>
      </c>
      <c r="H122" s="4" t="str">
        <f t="shared" si="32"/>
        <v>DVB Free Dish DTH Remote</v>
      </c>
      <c r="I122" s="4" t="str">
        <f t="shared" si="19"/>
        <v>DTH/Set Top Box Remote for DVB Free Dish DTH/Set Top Box</v>
      </c>
      <c r="J122" s="4" t="str">
        <f t="shared" si="33"/>
        <v>DVB Free Dish Set Top Box Remote</v>
      </c>
      <c r="K122" s="4" t="s">
        <v>646</v>
      </c>
      <c r="M122" s="4" t="s">
        <v>577</v>
      </c>
      <c r="N122" s="4" t="str">
        <f t="shared" si="20"/>
        <v>Compatible DVB Free Dish DTH/Set Top Box Remotes</v>
      </c>
      <c r="O122" s="1" t="str">
        <f t="shared" si="21"/>
        <v>Get Any Compatible DVB Free Dish DTH/Set Top Box Remotes Easily at Your Door-steps</v>
      </c>
      <c r="P122" s="1" t="str">
        <f t="shared" si="22"/>
        <v>Upix® Compatible DVB Free Dish DTH/Set Top Box Remotes</v>
      </c>
      <c r="Q122" s="1" t="str">
        <f t="shared" si="23"/>
        <v>Get Any Upix® Compatible DVB Free Dish DTH/Set Top Box Remotes Easily at Your Door-steps</v>
      </c>
      <c r="R122" s="1" t="s">
        <v>643</v>
      </c>
      <c r="S122" s="4" t="str">
        <f t="shared" si="24"/>
        <v>Upix® Compatible DVB Free Dish DTH/Set Top Box Remotes</v>
      </c>
      <c r="T122" s="1" t="s">
        <v>644</v>
      </c>
    </row>
    <row r="123" spans="1:20" x14ac:dyDescent="0.3">
      <c r="A123" s="4">
        <v>122</v>
      </c>
      <c r="B123" s="4" t="s">
        <v>1343</v>
      </c>
      <c r="C123" s="4" t="s">
        <v>25</v>
      </c>
      <c r="D123" s="4" t="str">
        <f t="shared" si="31"/>
        <v>LG DVD/Home Theatre System</v>
      </c>
      <c r="E123" s="5" t="str">
        <f t="shared" si="16"/>
        <v>LG DVD/Home Theatre System Remotes</v>
      </c>
      <c r="F123" s="4" t="str">
        <f t="shared" si="17"/>
        <v>LG DVD/Home Theatre System Remote Control</v>
      </c>
      <c r="G123" s="4" t="str">
        <f t="shared" si="18"/>
        <v>Remote for LG DVD/Home Theatre System</v>
      </c>
      <c r="H123" s="4" t="str">
        <f>C123&amp;" Home Theatre System Remote"</f>
        <v>LG Home Theatre System Remote</v>
      </c>
      <c r="I123" s="4" t="str">
        <f t="shared" si="19"/>
        <v>DVD/Home Theatre System Remote for LG DVD/Home Theatre System</v>
      </c>
      <c r="J123" s="4" t="str">
        <f>C123&amp;" DVD Remote"</f>
        <v>LG DVD Remote</v>
      </c>
      <c r="K123" s="4" t="s">
        <v>646</v>
      </c>
      <c r="M123" s="4" t="s">
        <v>579</v>
      </c>
      <c r="N123" s="4" t="str">
        <f t="shared" si="20"/>
        <v>Compatible LG DVD/Home Theatre System Remotes</v>
      </c>
      <c r="O123" s="1" t="str">
        <f t="shared" si="21"/>
        <v>Get Any Compatible LG DVD/Home Theatre System Remotes Easily at Your Door-steps</v>
      </c>
      <c r="P123" s="1" t="str">
        <f t="shared" si="22"/>
        <v>Upix® Compatible LG DVD/Home Theatre System Remotes</v>
      </c>
      <c r="Q123" s="1" t="str">
        <f t="shared" si="23"/>
        <v>Get Any Upix® Compatible LG DVD/Home Theatre System Remotes Easily at Your Door-steps</v>
      </c>
      <c r="R123" s="1" t="s">
        <v>643</v>
      </c>
      <c r="S123" s="4" t="str">
        <f t="shared" si="24"/>
        <v>Upix® Compatible LG DVD/Home Theatre System Remotes</v>
      </c>
      <c r="T123" s="1" t="s">
        <v>644</v>
      </c>
    </row>
    <row r="124" spans="1:20" x14ac:dyDescent="0.3">
      <c r="A124" s="4">
        <v>123</v>
      </c>
      <c r="B124" s="4" t="s">
        <v>1343</v>
      </c>
      <c r="C124" s="4" t="s">
        <v>31</v>
      </c>
      <c r="D124" s="4" t="str">
        <f t="shared" si="31"/>
        <v>Samsung DVD/Home Theatre System</v>
      </c>
      <c r="E124" s="5" t="str">
        <f t="shared" si="16"/>
        <v>Samsung DVD/Home Theatre System Remotes</v>
      </c>
      <c r="F124" s="4" t="str">
        <f t="shared" si="17"/>
        <v>Samsung DVD/Home Theatre System Remote Control</v>
      </c>
      <c r="G124" s="4" t="str">
        <f t="shared" si="18"/>
        <v>Remote for Samsung DVD/Home Theatre System</v>
      </c>
      <c r="H124" s="4" t="str">
        <f t="shared" ref="H124:H132" si="34">C124&amp;" Home Theatre System Remote"</f>
        <v>Samsung Home Theatre System Remote</v>
      </c>
      <c r="I124" s="4" t="str">
        <f t="shared" si="19"/>
        <v>DVD/Home Theatre System Remote for Samsung DVD/Home Theatre System</v>
      </c>
      <c r="J124" s="4" t="str">
        <f t="shared" ref="J124:J132" si="35">C124&amp;" DVD Remote"</f>
        <v>Samsung DVD Remote</v>
      </c>
      <c r="K124" s="4" t="s">
        <v>646</v>
      </c>
      <c r="M124" s="4" t="s">
        <v>580</v>
      </c>
      <c r="N124" s="4" t="str">
        <f t="shared" si="20"/>
        <v>Compatible Samsung DVD/Home Theatre System Remotes</v>
      </c>
      <c r="O124" s="1" t="str">
        <f t="shared" si="21"/>
        <v>Get Any Compatible Samsung DVD/Home Theatre System Remotes Easily at Your Door-steps</v>
      </c>
      <c r="P124" s="1" t="str">
        <f t="shared" si="22"/>
        <v>Upix® Compatible Samsung DVD/Home Theatre System Remotes</v>
      </c>
      <c r="Q124" s="1" t="str">
        <f t="shared" si="23"/>
        <v>Get Any Upix® Compatible Samsung DVD/Home Theatre System Remotes Easily at Your Door-steps</v>
      </c>
      <c r="R124" s="1" t="s">
        <v>643</v>
      </c>
      <c r="S124" s="5" t="str">
        <f t="shared" si="24"/>
        <v>Upix® Compatible Samsung DVD/Home Theatre System Remotes</v>
      </c>
      <c r="T124" s="1" t="s">
        <v>644</v>
      </c>
    </row>
    <row r="125" spans="1:20" x14ac:dyDescent="0.3">
      <c r="A125" s="4">
        <v>124</v>
      </c>
      <c r="B125" s="4" t="s">
        <v>1343</v>
      </c>
      <c r="C125" s="4" t="s">
        <v>64</v>
      </c>
      <c r="D125" s="4" t="str">
        <f t="shared" si="31"/>
        <v>All in One DVD/Home Theatre System</v>
      </c>
      <c r="E125" s="4" t="str">
        <f t="shared" si="16"/>
        <v>All in One DVD/Home Theatre System Remotes</v>
      </c>
      <c r="F125" s="4" t="str">
        <f t="shared" si="17"/>
        <v>All in One DVD/Home Theatre System Remote Control</v>
      </c>
      <c r="G125" s="4" t="str">
        <f t="shared" si="18"/>
        <v>Remote for All in One DVD/Home Theatre System</v>
      </c>
      <c r="H125" s="4" t="str">
        <f t="shared" si="34"/>
        <v>All in One Home Theatre System Remote</v>
      </c>
      <c r="I125" s="4" t="str">
        <f t="shared" si="19"/>
        <v>DVD/Home Theatre System Remote for All in One DVD/Home Theatre System</v>
      </c>
      <c r="J125" s="4" t="str">
        <f t="shared" si="35"/>
        <v>All in One DVD Remote</v>
      </c>
      <c r="K125" s="4" t="s">
        <v>646</v>
      </c>
      <c r="M125" s="4" t="s">
        <v>581</v>
      </c>
      <c r="N125" s="4" t="str">
        <f t="shared" si="20"/>
        <v>Compatible All in One DVD/Home Theatre System Remotes</v>
      </c>
      <c r="O125" s="1" t="str">
        <f t="shared" si="21"/>
        <v>Get Any Compatible All in One DVD/Home Theatre System Remotes Easily at Your Door-steps</v>
      </c>
      <c r="P125" s="1" t="str">
        <f t="shared" si="22"/>
        <v>Upix® Compatible All in One DVD/Home Theatre System Remotes</v>
      </c>
      <c r="Q125" s="1" t="str">
        <f t="shared" si="23"/>
        <v>Get Any Upix® Compatible All in One DVD/Home Theatre System Remotes Easily at Your Door-steps</v>
      </c>
      <c r="R125" s="1" t="s">
        <v>643</v>
      </c>
      <c r="S125" s="4" t="str">
        <f t="shared" si="24"/>
        <v>Upix® Compatible All in One DVD/Home Theatre System Remotes</v>
      </c>
      <c r="T125" s="1" t="s">
        <v>644</v>
      </c>
    </row>
    <row r="126" spans="1:20" x14ac:dyDescent="0.3">
      <c r="A126" s="4">
        <v>125</v>
      </c>
      <c r="B126" s="4" t="s">
        <v>1343</v>
      </c>
      <c r="C126" s="4" t="s">
        <v>65</v>
      </c>
      <c r="D126" s="4" t="str">
        <f t="shared" si="31"/>
        <v>Beston DVD/Home Theatre System</v>
      </c>
      <c r="E126" s="5" t="str">
        <f t="shared" si="16"/>
        <v>Beston DVD/Home Theatre System Remotes</v>
      </c>
      <c r="F126" s="4" t="str">
        <f t="shared" si="17"/>
        <v>Beston DVD/Home Theatre System Remote Control</v>
      </c>
      <c r="G126" s="4" t="str">
        <f t="shared" si="18"/>
        <v>Remote for Beston DVD/Home Theatre System</v>
      </c>
      <c r="H126" s="4" t="str">
        <f t="shared" si="34"/>
        <v>Beston Home Theatre System Remote</v>
      </c>
      <c r="I126" s="4" t="str">
        <f t="shared" si="19"/>
        <v>DVD/Home Theatre System Remote for Beston DVD/Home Theatre System</v>
      </c>
      <c r="J126" s="4" t="str">
        <f t="shared" si="35"/>
        <v>Beston DVD Remote</v>
      </c>
      <c r="K126" s="4" t="s">
        <v>646</v>
      </c>
      <c r="M126" s="4" t="s">
        <v>582</v>
      </c>
      <c r="N126" s="4" t="str">
        <f t="shared" si="20"/>
        <v>Compatible Beston DVD/Home Theatre System Remotes</v>
      </c>
      <c r="O126" s="1" t="str">
        <f t="shared" si="21"/>
        <v>Get Any Compatible Beston DVD/Home Theatre System Remotes Easily at Your Door-steps</v>
      </c>
      <c r="P126" s="1" t="str">
        <f t="shared" si="22"/>
        <v>Upix® Compatible Beston DVD/Home Theatre System Remotes</v>
      </c>
      <c r="Q126" s="1" t="str">
        <f t="shared" si="23"/>
        <v>Get Any Upix® Compatible Beston DVD/Home Theatre System Remotes Easily at Your Door-steps</v>
      </c>
      <c r="R126" s="1" t="s">
        <v>643</v>
      </c>
      <c r="S126" s="4" t="str">
        <f t="shared" si="24"/>
        <v>Upix® Compatible Beston DVD/Home Theatre System Remotes</v>
      </c>
      <c r="T126" s="1" t="s">
        <v>644</v>
      </c>
    </row>
    <row r="127" spans="1:20" x14ac:dyDescent="0.3">
      <c r="A127" s="4">
        <v>126</v>
      </c>
      <c r="B127" s="4" t="s">
        <v>1343</v>
      </c>
      <c r="C127" s="4" t="s">
        <v>39</v>
      </c>
      <c r="D127" s="4" t="str">
        <f t="shared" si="31"/>
        <v>Intex DVD/Home Theatre System</v>
      </c>
      <c r="E127" s="5" t="str">
        <f t="shared" si="16"/>
        <v>Intex DVD/Home Theatre System Remotes</v>
      </c>
      <c r="F127" s="4" t="str">
        <f t="shared" si="17"/>
        <v>Intex DVD/Home Theatre System Remote Control</v>
      </c>
      <c r="G127" s="4" t="str">
        <f t="shared" si="18"/>
        <v>Remote for Intex DVD/Home Theatre System</v>
      </c>
      <c r="H127" s="4" t="str">
        <f t="shared" si="34"/>
        <v>Intex Home Theatre System Remote</v>
      </c>
      <c r="I127" s="4" t="str">
        <f t="shared" si="19"/>
        <v>DVD/Home Theatre System Remote for Intex DVD/Home Theatre System</v>
      </c>
      <c r="J127" s="4" t="str">
        <f t="shared" si="35"/>
        <v>Intex DVD Remote</v>
      </c>
      <c r="K127" s="4" t="s">
        <v>646</v>
      </c>
      <c r="M127" s="4" t="s">
        <v>583</v>
      </c>
      <c r="N127" s="4" t="str">
        <f t="shared" si="20"/>
        <v>Compatible Intex DVD/Home Theatre System Remotes</v>
      </c>
      <c r="O127" s="1" t="str">
        <f t="shared" si="21"/>
        <v>Get Any Compatible Intex DVD/Home Theatre System Remotes Easily at Your Door-steps</v>
      </c>
      <c r="P127" s="1" t="str">
        <f t="shared" si="22"/>
        <v>Upix® Compatible Intex DVD/Home Theatre System Remotes</v>
      </c>
      <c r="Q127" s="1" t="str">
        <f t="shared" si="23"/>
        <v>Get Any Upix® Compatible Intex DVD/Home Theatre System Remotes Easily at Your Door-steps</v>
      </c>
      <c r="R127" s="1" t="s">
        <v>643</v>
      </c>
      <c r="S127" s="5" t="str">
        <f t="shared" si="24"/>
        <v>Upix® Compatible Intex DVD/Home Theatre System Remotes</v>
      </c>
      <c r="T127" s="1" t="s">
        <v>644</v>
      </c>
    </row>
    <row r="128" spans="1:20" x14ac:dyDescent="0.3">
      <c r="A128" s="4">
        <v>127</v>
      </c>
      <c r="B128" s="4" t="s">
        <v>1343</v>
      </c>
      <c r="C128" s="4" t="s">
        <v>66</v>
      </c>
      <c r="D128" s="4" t="str">
        <f t="shared" si="31"/>
        <v>Cemex DVD/Home Theatre System</v>
      </c>
      <c r="E128" s="5" t="str">
        <f t="shared" si="16"/>
        <v>Cemex DVD/Home Theatre System Remotes</v>
      </c>
      <c r="F128" s="4" t="str">
        <f t="shared" si="17"/>
        <v>Cemex DVD/Home Theatre System Remote Control</v>
      </c>
      <c r="G128" s="4" t="str">
        <f t="shared" si="18"/>
        <v>Remote for Cemex DVD/Home Theatre System</v>
      </c>
      <c r="H128" s="4" t="str">
        <f t="shared" si="34"/>
        <v>Cemex Home Theatre System Remote</v>
      </c>
      <c r="I128" s="4" t="str">
        <f t="shared" si="19"/>
        <v>DVD/Home Theatre System Remote for Cemex DVD/Home Theatre System</v>
      </c>
      <c r="J128" s="4" t="str">
        <f t="shared" si="35"/>
        <v>Cemex DVD Remote</v>
      </c>
      <c r="K128" s="4" t="s">
        <v>646</v>
      </c>
      <c r="M128" s="4" t="s">
        <v>584</v>
      </c>
      <c r="N128" s="4" t="str">
        <f t="shared" si="20"/>
        <v>Compatible Cemex DVD/Home Theatre System Remotes</v>
      </c>
      <c r="O128" s="1" t="str">
        <f t="shared" si="21"/>
        <v>Get Any Compatible Cemex DVD/Home Theatre System Remotes Easily at Your Door-steps</v>
      </c>
      <c r="P128" s="1" t="str">
        <f t="shared" si="22"/>
        <v>Upix® Compatible Cemex DVD/Home Theatre System Remotes</v>
      </c>
      <c r="Q128" s="1" t="str">
        <f t="shared" si="23"/>
        <v>Get Any Upix® Compatible Cemex DVD/Home Theatre System Remotes Easily at Your Door-steps</v>
      </c>
      <c r="R128" s="1" t="s">
        <v>643</v>
      </c>
      <c r="S128" s="4" t="str">
        <f t="shared" si="24"/>
        <v>Upix® Compatible Cemex DVD/Home Theatre System Remotes</v>
      </c>
      <c r="T128" s="1" t="s">
        <v>644</v>
      </c>
    </row>
    <row r="129" spans="1:20" x14ac:dyDescent="0.3">
      <c r="A129" s="4">
        <v>128</v>
      </c>
      <c r="B129" s="4" t="s">
        <v>1343</v>
      </c>
      <c r="C129" s="4" t="s">
        <v>67</v>
      </c>
      <c r="D129" s="4" t="str">
        <f t="shared" si="31"/>
        <v>Conic DVD/Home Theatre System</v>
      </c>
      <c r="E129" s="5" t="str">
        <f t="shared" si="16"/>
        <v>Conic DVD/Home Theatre System Remotes</v>
      </c>
      <c r="F129" s="4" t="str">
        <f t="shared" si="17"/>
        <v>Conic DVD/Home Theatre System Remote Control</v>
      </c>
      <c r="G129" s="4" t="str">
        <f t="shared" si="18"/>
        <v>Remote for Conic DVD/Home Theatre System</v>
      </c>
      <c r="H129" s="4" t="str">
        <f t="shared" si="34"/>
        <v>Conic Home Theatre System Remote</v>
      </c>
      <c r="I129" s="4" t="str">
        <f t="shared" si="19"/>
        <v>DVD/Home Theatre System Remote for Conic DVD/Home Theatre System</v>
      </c>
      <c r="J129" s="4" t="str">
        <f t="shared" si="35"/>
        <v>Conic DVD Remote</v>
      </c>
      <c r="K129" s="4" t="s">
        <v>646</v>
      </c>
      <c r="M129" s="4" t="s">
        <v>585</v>
      </c>
      <c r="N129" s="4" t="str">
        <f t="shared" si="20"/>
        <v>Compatible Conic DVD/Home Theatre System Remotes</v>
      </c>
      <c r="O129" s="1" t="str">
        <f t="shared" si="21"/>
        <v>Get Any Compatible Conic DVD/Home Theatre System Remotes Easily at Your Door-steps</v>
      </c>
      <c r="P129" s="1" t="str">
        <f t="shared" si="22"/>
        <v>Upix® Compatible Conic DVD/Home Theatre System Remotes</v>
      </c>
      <c r="Q129" s="1" t="str">
        <f t="shared" si="23"/>
        <v>Get Any Upix® Compatible Conic DVD/Home Theatre System Remotes Easily at Your Door-steps</v>
      </c>
      <c r="R129" s="1" t="s">
        <v>643</v>
      </c>
      <c r="S129" s="4" t="str">
        <f t="shared" si="24"/>
        <v>Upix® Compatible Conic DVD/Home Theatre System Remotes</v>
      </c>
      <c r="T129" s="1" t="s">
        <v>644</v>
      </c>
    </row>
    <row r="130" spans="1:20" x14ac:dyDescent="0.3">
      <c r="A130" s="4">
        <v>129</v>
      </c>
      <c r="B130" s="4" t="s">
        <v>1343</v>
      </c>
      <c r="C130" s="4" t="s">
        <v>74</v>
      </c>
      <c r="D130" s="4" t="str">
        <f t="shared" ref="D130:D135" si="36">C130&amp;" "&amp;B130</f>
        <v>Mitsun DVD/Home Theatre System</v>
      </c>
      <c r="E130" s="5" t="str">
        <f t="shared" si="16"/>
        <v>Mitsun DVD/Home Theatre System Remotes</v>
      </c>
      <c r="F130" s="4" t="str">
        <f t="shared" si="17"/>
        <v>Mitsun DVD/Home Theatre System Remote Control</v>
      </c>
      <c r="G130" s="4" t="str">
        <f t="shared" si="18"/>
        <v>Remote for Mitsun DVD/Home Theatre System</v>
      </c>
      <c r="H130" s="4" t="str">
        <f t="shared" si="34"/>
        <v>Mitsun Home Theatre System Remote</v>
      </c>
      <c r="I130" s="4" t="str">
        <f t="shared" si="19"/>
        <v>DVD/Home Theatre System Remote for Mitsun DVD/Home Theatre System</v>
      </c>
      <c r="J130" s="4" t="str">
        <f t="shared" si="35"/>
        <v>Mitsun DVD Remote</v>
      </c>
      <c r="K130" s="4" t="s">
        <v>646</v>
      </c>
      <c r="M130" s="4" t="s">
        <v>586</v>
      </c>
      <c r="N130" s="4" t="str">
        <f t="shared" si="20"/>
        <v>Compatible Mitsun DVD/Home Theatre System Remotes</v>
      </c>
      <c r="O130" s="1" t="str">
        <f t="shared" si="21"/>
        <v>Get Any Compatible Mitsun DVD/Home Theatre System Remotes Easily at Your Door-steps</v>
      </c>
      <c r="P130" s="1" t="str">
        <f t="shared" si="22"/>
        <v>Upix® Compatible Mitsun DVD/Home Theatre System Remotes</v>
      </c>
      <c r="Q130" s="1" t="str">
        <f t="shared" si="23"/>
        <v>Get Any Upix® Compatible Mitsun DVD/Home Theatre System Remotes Easily at Your Door-steps</v>
      </c>
      <c r="R130" s="1" t="s">
        <v>643</v>
      </c>
      <c r="S130" s="4" t="str">
        <f t="shared" si="24"/>
        <v>Upix® Compatible Mitsun DVD/Home Theatre System Remotes</v>
      </c>
      <c r="T130" s="1" t="s">
        <v>644</v>
      </c>
    </row>
    <row r="131" spans="1:20" x14ac:dyDescent="0.3">
      <c r="A131" s="4">
        <v>130</v>
      </c>
      <c r="B131" s="4" t="s">
        <v>1343</v>
      </c>
      <c r="C131" s="4" t="s">
        <v>50</v>
      </c>
      <c r="D131" s="4" t="str">
        <f t="shared" si="36"/>
        <v>Philips DVD/Home Theatre System</v>
      </c>
      <c r="E131" s="5" t="str">
        <f t="shared" ref="E131:E194" si="37">D131&amp;" Remotes"</f>
        <v>Philips DVD/Home Theatre System Remotes</v>
      </c>
      <c r="F131" s="4" t="str">
        <f t="shared" ref="F131:F194" si="38">D131&amp;" Remote Control"</f>
        <v>Philips DVD/Home Theatre System Remote Control</v>
      </c>
      <c r="G131" s="4" t="str">
        <f t="shared" ref="G131:G194" si="39">"Remote for "&amp;D131</f>
        <v>Remote for Philips DVD/Home Theatre System</v>
      </c>
      <c r="H131" s="4" t="str">
        <f t="shared" si="34"/>
        <v>Philips Home Theatre System Remote</v>
      </c>
      <c r="I131" s="4" t="str">
        <f t="shared" ref="I131:I194" si="40">B131&amp;" Remote for "&amp;D131</f>
        <v>DVD/Home Theatre System Remote for Philips DVD/Home Theatre System</v>
      </c>
      <c r="J131" s="4" t="str">
        <f t="shared" si="35"/>
        <v>Philips DVD Remote</v>
      </c>
      <c r="K131" s="4" t="s">
        <v>646</v>
      </c>
      <c r="M131" s="4" t="s">
        <v>587</v>
      </c>
      <c r="N131" s="4" t="str">
        <f t="shared" ref="N131:N194" si="41">"Compatible "&amp;E131</f>
        <v>Compatible Philips DVD/Home Theatre System Remotes</v>
      </c>
      <c r="O131" s="1" t="str">
        <f t="shared" ref="O131:O194" si="42">"Get Any "&amp;N131&amp;" Easily at Your Door-steps"</f>
        <v>Get Any Compatible Philips DVD/Home Theatre System Remotes Easily at Your Door-steps</v>
      </c>
      <c r="P131" s="1" t="str">
        <f t="shared" ref="P131:P194" si="43">"Upix® "&amp;N131</f>
        <v>Upix® Compatible Philips DVD/Home Theatre System Remotes</v>
      </c>
      <c r="Q131" s="1" t="str">
        <f t="shared" ref="Q131:Q194" si="44">"Get Any "&amp;P131&amp;" Easily at Your Door-steps"</f>
        <v>Get Any Upix® Compatible Philips DVD/Home Theatre System Remotes Easily at Your Door-steps</v>
      </c>
      <c r="R131" s="1" t="s">
        <v>643</v>
      </c>
      <c r="S131" s="4" t="str">
        <f t="shared" ref="S131:S173" si="45">"Upix® "&amp;N131</f>
        <v>Upix® Compatible Philips DVD/Home Theatre System Remotes</v>
      </c>
      <c r="T131" s="1" t="s">
        <v>644</v>
      </c>
    </row>
    <row r="132" spans="1:20" x14ac:dyDescent="0.3">
      <c r="A132" s="4">
        <v>131</v>
      </c>
      <c r="B132" s="4" t="s">
        <v>1343</v>
      </c>
      <c r="C132" s="4" t="s">
        <v>41</v>
      </c>
      <c r="D132" s="4" t="str">
        <f t="shared" si="36"/>
        <v>Sony DVD/Home Theatre System</v>
      </c>
      <c r="E132" s="5" t="str">
        <f t="shared" si="37"/>
        <v>Sony DVD/Home Theatre System Remotes</v>
      </c>
      <c r="F132" s="4" t="str">
        <f t="shared" si="38"/>
        <v>Sony DVD/Home Theatre System Remote Control</v>
      </c>
      <c r="G132" s="4" t="str">
        <f t="shared" si="39"/>
        <v>Remote for Sony DVD/Home Theatre System</v>
      </c>
      <c r="H132" s="4" t="str">
        <f t="shared" si="34"/>
        <v>Sony Home Theatre System Remote</v>
      </c>
      <c r="I132" s="4" t="str">
        <f t="shared" si="40"/>
        <v>DVD/Home Theatre System Remote for Sony DVD/Home Theatre System</v>
      </c>
      <c r="J132" s="4" t="str">
        <f t="shared" si="35"/>
        <v>Sony DVD Remote</v>
      </c>
      <c r="K132" s="4" t="s">
        <v>646</v>
      </c>
      <c r="L132" s="4" t="s">
        <v>646</v>
      </c>
      <c r="M132" s="4" t="s">
        <v>588</v>
      </c>
      <c r="N132" s="4" t="str">
        <f t="shared" si="41"/>
        <v>Compatible Sony DVD/Home Theatre System Remotes</v>
      </c>
      <c r="O132" s="1" t="str">
        <f t="shared" si="42"/>
        <v>Get Any Compatible Sony DVD/Home Theatre System Remotes Easily at Your Door-steps</v>
      </c>
      <c r="P132" s="1" t="str">
        <f t="shared" si="43"/>
        <v>Upix® Compatible Sony DVD/Home Theatre System Remotes</v>
      </c>
      <c r="Q132" s="1" t="str">
        <f t="shared" si="44"/>
        <v>Get Any Upix® Compatible Sony DVD/Home Theatre System Remotes Easily at Your Door-steps</v>
      </c>
      <c r="R132" s="1" t="s">
        <v>643</v>
      </c>
      <c r="S132" s="5" t="str">
        <f t="shared" si="45"/>
        <v>Upix® Compatible Sony DVD/Home Theatre System Remotes</v>
      </c>
      <c r="T132" s="1" t="s">
        <v>644</v>
      </c>
    </row>
    <row r="133" spans="1:20" x14ac:dyDescent="0.3">
      <c r="A133" s="4">
        <v>132</v>
      </c>
      <c r="B133" s="4" t="s">
        <v>419</v>
      </c>
      <c r="C133" s="4" t="s">
        <v>1348</v>
      </c>
      <c r="D133" s="4" t="str">
        <f t="shared" si="36"/>
        <v>Cloud Walker LCD/LED TV</v>
      </c>
      <c r="E133" s="5" t="str">
        <f t="shared" si="37"/>
        <v>Cloud Walker LCD/LED TV Remotes</v>
      </c>
      <c r="F133" s="4" t="str">
        <f t="shared" si="38"/>
        <v>Cloud Walker LCD/LED TV Remote Control</v>
      </c>
      <c r="G133" s="4" t="str">
        <f t="shared" si="39"/>
        <v>Remote for Cloud Walker LCD/LED TV</v>
      </c>
      <c r="H133" s="4" t="str">
        <f>C133&amp;" LCD Remote"</f>
        <v>Cloud Walker LCD Remote</v>
      </c>
      <c r="I133" s="4" t="str">
        <f t="shared" si="40"/>
        <v>LCD/LED TV Remote for Cloud Walker LCD/LED TV</v>
      </c>
      <c r="J133" s="4" t="str">
        <f>C133&amp;" LED Remote"</f>
        <v>Cloud Walker LED Remote</v>
      </c>
      <c r="K133" s="4" t="s">
        <v>646</v>
      </c>
      <c r="M133" s="4" t="s">
        <v>1208</v>
      </c>
      <c r="N133" s="4" t="str">
        <f t="shared" si="41"/>
        <v>Compatible Cloud Walker LCD/LED TV Remotes</v>
      </c>
      <c r="O133" s="1" t="str">
        <f t="shared" si="42"/>
        <v>Get Any Compatible Cloud Walker LCD/LED TV Remotes Easily at Your Door-steps</v>
      </c>
      <c r="P133" s="1" t="str">
        <f t="shared" si="43"/>
        <v>Upix® Compatible Cloud Walker LCD/LED TV Remotes</v>
      </c>
      <c r="Q133" s="1" t="str">
        <f t="shared" si="44"/>
        <v>Get Any Upix® Compatible Cloud Walker LCD/LED TV Remotes Easily at Your Door-steps</v>
      </c>
      <c r="R133" s="1" t="s">
        <v>643</v>
      </c>
      <c r="S133" s="4" t="str">
        <f t="shared" si="45"/>
        <v>Upix® Compatible Cloud Walker LCD/LED TV Remotes</v>
      </c>
      <c r="T133" s="1" t="s">
        <v>644</v>
      </c>
    </row>
    <row r="134" spans="1:20" x14ac:dyDescent="0.3">
      <c r="A134" s="4">
        <v>133</v>
      </c>
      <c r="B134" s="4" t="s">
        <v>1344</v>
      </c>
      <c r="C134" s="4" t="s">
        <v>71</v>
      </c>
      <c r="D134" s="4" t="str">
        <f t="shared" si="36"/>
        <v>Marq Smart TV LCD/LED</v>
      </c>
      <c r="E134" s="5" t="str">
        <f t="shared" si="37"/>
        <v>Marq Smart TV LCD/LED Remotes</v>
      </c>
      <c r="F134" s="4" t="str">
        <f t="shared" si="38"/>
        <v>Marq Smart TV LCD/LED Remote Control</v>
      </c>
      <c r="G134" s="4" t="str">
        <f t="shared" si="39"/>
        <v>Remote for Marq Smart TV LCD/LED</v>
      </c>
      <c r="H134" s="4" t="str">
        <f>C134&amp;" Smart TV Remote"</f>
        <v>Marq Smart TV Remote</v>
      </c>
      <c r="I134" s="4" t="str">
        <f t="shared" si="40"/>
        <v>Smart TV LCD/LED Remote for Marq Smart TV LCD/LED</v>
      </c>
      <c r="J134" s="4" t="str">
        <f>C134&amp;" Smart Remote"</f>
        <v>Marq Smart Remote</v>
      </c>
      <c r="K134" s="4" t="s">
        <v>646</v>
      </c>
      <c r="M134" s="4" t="s">
        <v>1209</v>
      </c>
      <c r="N134" s="4" t="str">
        <f t="shared" si="41"/>
        <v>Compatible Marq Smart TV LCD/LED Remotes</v>
      </c>
      <c r="O134" s="1" t="str">
        <f t="shared" si="42"/>
        <v>Get Any Compatible Marq Smart TV LCD/LED Remotes Easily at Your Door-steps</v>
      </c>
      <c r="P134" s="1" t="str">
        <f t="shared" si="43"/>
        <v>Upix® Compatible Marq Smart TV LCD/LED Remotes</v>
      </c>
      <c r="Q134" s="1" t="str">
        <f t="shared" si="44"/>
        <v>Get Any Upix® Compatible Marq Smart TV LCD/LED Remotes Easily at Your Door-steps</v>
      </c>
      <c r="R134" s="1" t="s">
        <v>643</v>
      </c>
      <c r="S134" s="4" t="str">
        <f t="shared" si="45"/>
        <v>Upix® Compatible Marq Smart TV LCD/LED Remotes</v>
      </c>
      <c r="T134" s="1" t="s">
        <v>644</v>
      </c>
    </row>
    <row r="135" spans="1:20" x14ac:dyDescent="0.3">
      <c r="A135" s="4">
        <v>134</v>
      </c>
      <c r="B135" s="4" t="s">
        <v>419</v>
      </c>
      <c r="C135" s="4" t="s">
        <v>638</v>
      </c>
      <c r="D135" s="4" t="str">
        <f t="shared" si="36"/>
        <v>Worldtech LCD/LED TV</v>
      </c>
      <c r="E135" s="5" t="str">
        <f t="shared" si="37"/>
        <v>Worldtech LCD/LED TV Remotes</v>
      </c>
      <c r="F135" s="4" t="str">
        <f t="shared" si="38"/>
        <v>Worldtech LCD/LED TV Remote Control</v>
      </c>
      <c r="G135" s="4" t="str">
        <f t="shared" si="39"/>
        <v>Remote for Worldtech LCD/LED TV</v>
      </c>
      <c r="H135" s="4" t="str">
        <f>C135&amp;" LCD Remote"</f>
        <v>Worldtech LCD Remote</v>
      </c>
      <c r="I135" s="4" t="str">
        <f t="shared" si="40"/>
        <v>LCD/LED TV Remote for Worldtech LCD/LED TV</v>
      </c>
      <c r="J135" s="4" t="str">
        <f>C135&amp;" LED Remote"</f>
        <v>Worldtech LED Remote</v>
      </c>
      <c r="K135" s="4" t="s">
        <v>646</v>
      </c>
      <c r="M135" s="4" t="s">
        <v>1210</v>
      </c>
      <c r="N135" s="4" t="str">
        <f t="shared" si="41"/>
        <v>Compatible Worldtech LCD/LED TV Remotes</v>
      </c>
      <c r="O135" s="1" t="str">
        <f t="shared" si="42"/>
        <v>Get Any Compatible Worldtech LCD/LED TV Remotes Easily at Your Door-steps</v>
      </c>
      <c r="P135" s="1" t="str">
        <f t="shared" si="43"/>
        <v>Upix® Compatible Worldtech LCD/LED TV Remotes</v>
      </c>
      <c r="Q135" s="1" t="str">
        <f t="shared" si="44"/>
        <v>Get Any Upix® Compatible Worldtech LCD/LED TV Remotes Easily at Your Door-steps</v>
      </c>
      <c r="R135" s="1" t="s">
        <v>643</v>
      </c>
      <c r="S135" s="4" t="str">
        <f t="shared" si="45"/>
        <v>Upix® Compatible Worldtech LCD/LED TV Remotes</v>
      </c>
      <c r="T135" s="1" t="s">
        <v>644</v>
      </c>
    </row>
    <row r="136" spans="1:20" x14ac:dyDescent="0.3">
      <c r="A136" s="4">
        <v>135</v>
      </c>
      <c r="B136" s="4" t="s">
        <v>3</v>
      </c>
      <c r="C136" s="4" t="s">
        <v>590</v>
      </c>
      <c r="D136" s="4" t="s">
        <v>589</v>
      </c>
      <c r="E136" s="5" t="str">
        <f t="shared" si="37"/>
        <v>Forbes AC Remotes</v>
      </c>
      <c r="F136" s="4" t="str">
        <f t="shared" si="38"/>
        <v>Forbes AC Remote Control</v>
      </c>
      <c r="G136" s="4" t="str">
        <f t="shared" si="39"/>
        <v>Remote for Forbes AC</v>
      </c>
      <c r="H136" s="4" t="str">
        <f>C136&amp;" Air Conditioner Remote"</f>
        <v>Forbes Air Conditioner Remote</v>
      </c>
      <c r="I136" s="4" t="str">
        <f t="shared" si="40"/>
        <v>AC Remote for Forbes AC</v>
      </c>
      <c r="J136" s="4" t="str">
        <f t="shared" ref="J136:J177" si="46">F136&amp;" Not Working"</f>
        <v>Forbes AC Remote Control Not Working</v>
      </c>
      <c r="K136" s="4" t="s">
        <v>646</v>
      </c>
      <c r="M136" s="4" t="s">
        <v>649</v>
      </c>
      <c r="N136" s="4" t="str">
        <f t="shared" si="41"/>
        <v>Compatible Forbes AC Remotes</v>
      </c>
      <c r="O136" s="1" t="str">
        <f t="shared" si="42"/>
        <v>Get Any Compatible Forbes AC Remotes Easily at Your Door-steps</v>
      </c>
      <c r="P136" s="1" t="str">
        <f t="shared" si="43"/>
        <v>Upix® Compatible Forbes AC Remotes</v>
      </c>
      <c r="Q136" s="1" t="str">
        <f t="shared" si="44"/>
        <v>Get Any Upix® Compatible Forbes AC Remotes Easily at Your Door-steps</v>
      </c>
      <c r="R136" s="1" t="s">
        <v>643</v>
      </c>
      <c r="S136" s="4" t="str">
        <f t="shared" si="45"/>
        <v>Upix® Compatible Forbes AC Remotes</v>
      </c>
      <c r="T136" s="1" t="s">
        <v>644</v>
      </c>
    </row>
    <row r="137" spans="1:20" x14ac:dyDescent="0.3">
      <c r="A137" s="4">
        <v>136</v>
      </c>
      <c r="B137" s="4" t="s">
        <v>419</v>
      </c>
      <c r="C137" s="4" t="s">
        <v>591</v>
      </c>
      <c r="D137" s="4" t="str">
        <f t="shared" ref="D137:D168" si="47">C137&amp;" "&amp;B137</f>
        <v>Kodak LCD/LED TV</v>
      </c>
      <c r="E137" s="5" t="str">
        <f t="shared" si="37"/>
        <v>Kodak LCD/LED TV Remotes</v>
      </c>
      <c r="F137" s="4" t="str">
        <f t="shared" si="38"/>
        <v>Kodak LCD/LED TV Remote Control</v>
      </c>
      <c r="G137" s="4" t="str">
        <f t="shared" si="39"/>
        <v>Remote for Kodak LCD/LED TV</v>
      </c>
      <c r="H137" s="4" t="str">
        <f>C137&amp;" LCD Remote"</f>
        <v>Kodak LCD Remote</v>
      </c>
      <c r="I137" s="4" t="str">
        <f t="shared" si="40"/>
        <v>LCD/LED TV Remote for Kodak LCD/LED TV</v>
      </c>
      <c r="J137" s="4" t="str">
        <f>C137&amp;" LED Remote"</f>
        <v>Kodak LED Remote</v>
      </c>
      <c r="K137" s="4" t="s">
        <v>646</v>
      </c>
      <c r="M137" s="4" t="s">
        <v>1211</v>
      </c>
      <c r="N137" s="4" t="str">
        <f t="shared" si="41"/>
        <v>Compatible Kodak LCD/LED TV Remotes</v>
      </c>
      <c r="O137" s="1" t="str">
        <f t="shared" si="42"/>
        <v>Get Any Compatible Kodak LCD/LED TV Remotes Easily at Your Door-steps</v>
      </c>
      <c r="P137" s="1" t="str">
        <f t="shared" si="43"/>
        <v>Upix® Compatible Kodak LCD/LED TV Remotes</v>
      </c>
      <c r="Q137" s="1" t="str">
        <f t="shared" si="44"/>
        <v>Get Any Upix® Compatible Kodak LCD/LED TV Remotes Easily at Your Door-steps</v>
      </c>
      <c r="R137" s="1" t="s">
        <v>643</v>
      </c>
      <c r="S137" s="4" t="str">
        <f t="shared" si="45"/>
        <v>Upix® Compatible Kodak LCD/LED TV Remotes</v>
      </c>
      <c r="T137" s="1" t="s">
        <v>644</v>
      </c>
    </row>
    <row r="138" spans="1:20" x14ac:dyDescent="0.3">
      <c r="A138" s="4">
        <v>137</v>
      </c>
      <c r="B138" s="4" t="s">
        <v>1344</v>
      </c>
      <c r="C138" s="4" t="s">
        <v>592</v>
      </c>
      <c r="D138" s="4" t="str">
        <f t="shared" si="47"/>
        <v>Skyworth Smart TV LCD/LED</v>
      </c>
      <c r="E138" s="5" t="str">
        <f t="shared" si="37"/>
        <v>Skyworth Smart TV LCD/LED Remotes</v>
      </c>
      <c r="F138" s="4" t="str">
        <f t="shared" si="38"/>
        <v>Skyworth Smart TV LCD/LED Remote Control</v>
      </c>
      <c r="G138" s="4" t="str">
        <f t="shared" si="39"/>
        <v>Remote for Skyworth Smart TV LCD/LED</v>
      </c>
      <c r="H138" s="4" t="str">
        <f t="shared" ref="H138:H140" si="48">C138&amp;" Smart TV Remote"</f>
        <v>Skyworth Smart TV Remote</v>
      </c>
      <c r="I138" s="4" t="str">
        <f t="shared" si="40"/>
        <v>Smart TV LCD/LED Remote for Skyworth Smart TV LCD/LED</v>
      </c>
      <c r="J138" s="4" t="str">
        <f t="shared" ref="J138:J140" si="49">C138&amp;" Smart Remote"</f>
        <v>Skyworth Smart Remote</v>
      </c>
      <c r="K138" s="4" t="s">
        <v>647</v>
      </c>
      <c r="M138" s="4" t="s">
        <v>1212</v>
      </c>
      <c r="N138" s="4" t="str">
        <f t="shared" si="41"/>
        <v>Compatible Skyworth Smart TV LCD/LED Remotes</v>
      </c>
      <c r="O138" s="1" t="str">
        <f t="shared" si="42"/>
        <v>Get Any Compatible Skyworth Smart TV LCD/LED Remotes Easily at Your Door-steps</v>
      </c>
      <c r="P138" s="1" t="str">
        <f t="shared" si="43"/>
        <v>Upix® Compatible Skyworth Smart TV LCD/LED Remotes</v>
      </c>
      <c r="Q138" s="1" t="str">
        <f t="shared" si="44"/>
        <v>Get Any Upix® Compatible Skyworth Smart TV LCD/LED Remotes Easily at Your Door-steps</v>
      </c>
      <c r="R138" s="1" t="s">
        <v>643</v>
      </c>
      <c r="S138" s="4" t="str">
        <f t="shared" si="45"/>
        <v>Upix® Compatible Skyworth Smart TV LCD/LED Remotes</v>
      </c>
      <c r="T138" s="1" t="s">
        <v>644</v>
      </c>
    </row>
    <row r="139" spans="1:20" x14ac:dyDescent="0.3">
      <c r="A139" s="4">
        <v>138</v>
      </c>
      <c r="B139" s="4" t="s">
        <v>1344</v>
      </c>
      <c r="C139" s="4" t="s">
        <v>593</v>
      </c>
      <c r="D139" s="4" t="str">
        <f t="shared" si="47"/>
        <v>Nokia Smart TV LCD/LED</v>
      </c>
      <c r="E139" s="5" t="str">
        <f t="shared" si="37"/>
        <v>Nokia Smart TV LCD/LED Remotes</v>
      </c>
      <c r="F139" s="4" t="str">
        <f t="shared" si="38"/>
        <v>Nokia Smart TV LCD/LED Remote Control</v>
      </c>
      <c r="G139" s="4" t="str">
        <f t="shared" si="39"/>
        <v>Remote for Nokia Smart TV LCD/LED</v>
      </c>
      <c r="H139" s="4" t="str">
        <f t="shared" si="48"/>
        <v>Nokia Smart TV Remote</v>
      </c>
      <c r="I139" s="4" t="str">
        <f t="shared" si="40"/>
        <v>Smart TV LCD/LED Remote for Nokia Smart TV LCD/LED</v>
      </c>
      <c r="J139" s="4" t="str">
        <f t="shared" si="49"/>
        <v>Nokia Smart Remote</v>
      </c>
      <c r="K139" s="4" t="s">
        <v>647</v>
      </c>
      <c r="M139" s="4" t="s">
        <v>1213</v>
      </c>
      <c r="N139" s="4" t="str">
        <f t="shared" si="41"/>
        <v>Compatible Nokia Smart TV LCD/LED Remotes</v>
      </c>
      <c r="O139" s="1" t="str">
        <f t="shared" si="42"/>
        <v>Get Any Compatible Nokia Smart TV LCD/LED Remotes Easily at Your Door-steps</v>
      </c>
      <c r="P139" s="1" t="str">
        <f t="shared" si="43"/>
        <v>Upix® Compatible Nokia Smart TV LCD/LED Remotes</v>
      </c>
      <c r="Q139" s="1" t="str">
        <f t="shared" si="44"/>
        <v>Get Any Upix® Compatible Nokia Smart TV LCD/LED Remotes Easily at Your Door-steps</v>
      </c>
      <c r="R139" s="1" t="s">
        <v>643</v>
      </c>
      <c r="S139" s="4" t="str">
        <f t="shared" si="45"/>
        <v>Upix® Compatible Nokia Smart TV LCD/LED Remotes</v>
      </c>
      <c r="T139" s="1" t="s">
        <v>644</v>
      </c>
    </row>
    <row r="140" spans="1:20" x14ac:dyDescent="0.3">
      <c r="A140" s="4">
        <v>139</v>
      </c>
      <c r="B140" s="4" t="s">
        <v>1344</v>
      </c>
      <c r="C140" s="4" t="s">
        <v>594</v>
      </c>
      <c r="D140" s="4" t="str">
        <f t="shared" si="47"/>
        <v>Motorola Smart TV LCD/LED</v>
      </c>
      <c r="E140" s="5" t="str">
        <f t="shared" si="37"/>
        <v>Motorola Smart TV LCD/LED Remotes</v>
      </c>
      <c r="F140" s="4" t="str">
        <f t="shared" si="38"/>
        <v>Motorola Smart TV LCD/LED Remote Control</v>
      </c>
      <c r="G140" s="4" t="str">
        <f t="shared" si="39"/>
        <v>Remote for Motorola Smart TV LCD/LED</v>
      </c>
      <c r="H140" s="4" t="str">
        <f t="shared" si="48"/>
        <v>Motorola Smart TV Remote</v>
      </c>
      <c r="I140" s="4" t="str">
        <f t="shared" si="40"/>
        <v>Smart TV LCD/LED Remote for Motorola Smart TV LCD/LED</v>
      </c>
      <c r="J140" s="4" t="str">
        <f t="shared" si="49"/>
        <v>Motorola Smart Remote</v>
      </c>
      <c r="K140" s="4" t="s">
        <v>647</v>
      </c>
      <c r="M140" s="4" t="s">
        <v>1214</v>
      </c>
      <c r="N140" s="4" t="str">
        <f t="shared" si="41"/>
        <v>Compatible Motorola Smart TV LCD/LED Remotes</v>
      </c>
      <c r="O140" s="1" t="str">
        <f t="shared" si="42"/>
        <v>Get Any Compatible Motorola Smart TV LCD/LED Remotes Easily at Your Door-steps</v>
      </c>
      <c r="P140" s="1" t="str">
        <f t="shared" si="43"/>
        <v>Upix® Compatible Motorola Smart TV LCD/LED Remotes</v>
      </c>
      <c r="Q140" s="1" t="str">
        <f t="shared" si="44"/>
        <v>Get Any Upix® Compatible Motorola Smart TV LCD/LED Remotes Easily at Your Door-steps</v>
      </c>
      <c r="R140" s="1" t="s">
        <v>643</v>
      </c>
      <c r="S140" s="4" t="str">
        <f t="shared" si="45"/>
        <v>Upix® Compatible Motorola Smart TV LCD/LED Remotes</v>
      </c>
      <c r="T140" s="1" t="s">
        <v>644</v>
      </c>
    </row>
    <row r="141" spans="1:20" x14ac:dyDescent="0.3">
      <c r="A141" s="4">
        <v>140</v>
      </c>
      <c r="B141" s="4" t="s">
        <v>1343</v>
      </c>
      <c r="C141" s="4" t="s">
        <v>596</v>
      </c>
      <c r="D141" s="4" t="str">
        <f t="shared" si="47"/>
        <v>Deltron DVD/Home Theatre System</v>
      </c>
      <c r="E141" s="5" t="str">
        <f t="shared" si="37"/>
        <v>Deltron DVD/Home Theatre System Remotes</v>
      </c>
      <c r="F141" s="4" t="str">
        <f t="shared" si="38"/>
        <v>Deltron DVD/Home Theatre System Remote Control</v>
      </c>
      <c r="G141" s="4" t="str">
        <f t="shared" si="39"/>
        <v>Remote for Deltron DVD/Home Theatre System</v>
      </c>
      <c r="H141" s="4" t="str">
        <f t="shared" ref="H141:H160" si="50">C141&amp;" Home Theatre System Remote"</f>
        <v>Deltron Home Theatre System Remote</v>
      </c>
      <c r="I141" s="4" t="str">
        <f t="shared" si="40"/>
        <v>DVD/Home Theatre System Remote for Deltron DVD/Home Theatre System</v>
      </c>
      <c r="J141" s="4" t="str">
        <f t="shared" ref="J141:J160" si="51">C141&amp;" DVD Remote"</f>
        <v>Deltron DVD Remote</v>
      </c>
      <c r="K141" s="4" t="s">
        <v>646</v>
      </c>
      <c r="M141" s="4" t="str">
        <f t="shared" ref="M141:M160" si="52">LOWER(C141) &amp;" dvd audio home theatre sound system sound bar remote control original"</f>
        <v>deltron dvd audio home theatre sound system sound bar remote control original</v>
      </c>
      <c r="N141" s="4" t="str">
        <f t="shared" si="41"/>
        <v>Compatible Deltron DVD/Home Theatre System Remotes</v>
      </c>
      <c r="O141" s="1" t="str">
        <f t="shared" si="42"/>
        <v>Get Any Compatible Deltron DVD/Home Theatre System Remotes Easily at Your Door-steps</v>
      </c>
      <c r="P141" s="1" t="str">
        <f t="shared" si="43"/>
        <v>Upix® Compatible Deltron DVD/Home Theatre System Remotes</v>
      </c>
      <c r="Q141" s="1" t="str">
        <f t="shared" si="44"/>
        <v>Get Any Upix® Compatible Deltron DVD/Home Theatre System Remotes Easily at Your Door-steps</v>
      </c>
      <c r="R141" s="1" t="s">
        <v>643</v>
      </c>
      <c r="S141" s="4" t="str">
        <f t="shared" si="45"/>
        <v>Upix® Compatible Deltron DVD/Home Theatre System Remotes</v>
      </c>
      <c r="T141" s="1" t="s">
        <v>644</v>
      </c>
    </row>
    <row r="142" spans="1:20" x14ac:dyDescent="0.3">
      <c r="A142" s="4">
        <v>141</v>
      </c>
      <c r="B142" s="4" t="s">
        <v>1343</v>
      </c>
      <c r="C142" s="4" t="s">
        <v>597</v>
      </c>
      <c r="D142" s="4" t="str">
        <f t="shared" si="47"/>
        <v>Hybon DVD/Home Theatre System</v>
      </c>
      <c r="E142" s="5" t="str">
        <f t="shared" si="37"/>
        <v>Hybon DVD/Home Theatre System Remotes</v>
      </c>
      <c r="F142" s="4" t="str">
        <f t="shared" si="38"/>
        <v>Hybon DVD/Home Theatre System Remote Control</v>
      </c>
      <c r="G142" s="4" t="str">
        <f t="shared" si="39"/>
        <v>Remote for Hybon DVD/Home Theatre System</v>
      </c>
      <c r="H142" s="4" t="str">
        <f t="shared" si="50"/>
        <v>Hybon Home Theatre System Remote</v>
      </c>
      <c r="I142" s="4" t="str">
        <f t="shared" si="40"/>
        <v>DVD/Home Theatre System Remote for Hybon DVD/Home Theatre System</v>
      </c>
      <c r="J142" s="4" t="str">
        <f t="shared" si="51"/>
        <v>Hybon DVD Remote</v>
      </c>
      <c r="K142" s="4" t="s">
        <v>646</v>
      </c>
      <c r="M142" s="4" t="str">
        <f t="shared" si="52"/>
        <v>hybon dvd audio home theatre sound system sound bar remote control original</v>
      </c>
      <c r="N142" s="4" t="str">
        <f t="shared" si="41"/>
        <v>Compatible Hybon DVD/Home Theatre System Remotes</v>
      </c>
      <c r="O142" s="1" t="str">
        <f t="shared" si="42"/>
        <v>Get Any Compatible Hybon DVD/Home Theatre System Remotes Easily at Your Door-steps</v>
      </c>
      <c r="P142" s="1" t="str">
        <f t="shared" si="43"/>
        <v>Upix® Compatible Hybon DVD/Home Theatre System Remotes</v>
      </c>
      <c r="Q142" s="1" t="str">
        <f t="shared" si="44"/>
        <v>Get Any Upix® Compatible Hybon DVD/Home Theatre System Remotes Easily at Your Door-steps</v>
      </c>
      <c r="R142" s="1" t="s">
        <v>643</v>
      </c>
      <c r="S142" s="4" t="str">
        <f t="shared" si="45"/>
        <v>Upix® Compatible Hybon DVD/Home Theatre System Remotes</v>
      </c>
      <c r="T142" s="1" t="s">
        <v>644</v>
      </c>
    </row>
    <row r="143" spans="1:20" x14ac:dyDescent="0.3">
      <c r="A143" s="4">
        <v>142</v>
      </c>
      <c r="B143" s="4" t="s">
        <v>1343</v>
      </c>
      <c r="C143" s="4" t="s">
        <v>598</v>
      </c>
      <c r="D143" s="4" t="str">
        <f t="shared" si="47"/>
        <v>Santosh DVD/Home Theatre System</v>
      </c>
      <c r="E143" s="5" t="str">
        <f t="shared" si="37"/>
        <v>Santosh DVD/Home Theatre System Remotes</v>
      </c>
      <c r="F143" s="4" t="str">
        <f t="shared" si="38"/>
        <v>Santosh DVD/Home Theatre System Remote Control</v>
      </c>
      <c r="G143" s="4" t="str">
        <f t="shared" si="39"/>
        <v>Remote for Santosh DVD/Home Theatre System</v>
      </c>
      <c r="H143" s="4" t="str">
        <f t="shared" si="50"/>
        <v>Santosh Home Theatre System Remote</v>
      </c>
      <c r="I143" s="4" t="str">
        <f t="shared" si="40"/>
        <v>DVD/Home Theatre System Remote for Santosh DVD/Home Theatre System</v>
      </c>
      <c r="J143" s="4" t="str">
        <f t="shared" si="51"/>
        <v>Santosh DVD Remote</v>
      </c>
      <c r="K143" s="4" t="s">
        <v>646</v>
      </c>
      <c r="M143" s="4" t="str">
        <f t="shared" si="52"/>
        <v>santosh dvd audio home theatre sound system sound bar remote control original</v>
      </c>
      <c r="N143" s="4" t="str">
        <f t="shared" si="41"/>
        <v>Compatible Santosh DVD/Home Theatre System Remotes</v>
      </c>
      <c r="O143" s="1" t="str">
        <f t="shared" si="42"/>
        <v>Get Any Compatible Santosh DVD/Home Theatre System Remotes Easily at Your Door-steps</v>
      </c>
      <c r="P143" s="1" t="str">
        <f t="shared" si="43"/>
        <v>Upix® Compatible Santosh DVD/Home Theatre System Remotes</v>
      </c>
      <c r="Q143" s="1" t="str">
        <f t="shared" si="44"/>
        <v>Get Any Upix® Compatible Santosh DVD/Home Theatre System Remotes Easily at Your Door-steps</v>
      </c>
      <c r="R143" s="1" t="s">
        <v>643</v>
      </c>
      <c r="S143" s="4" t="str">
        <f t="shared" si="45"/>
        <v>Upix® Compatible Santosh DVD/Home Theatre System Remotes</v>
      </c>
      <c r="T143" s="1" t="s">
        <v>644</v>
      </c>
    </row>
    <row r="144" spans="1:20" x14ac:dyDescent="0.3">
      <c r="A144" s="4">
        <v>143</v>
      </c>
      <c r="B144" s="4" t="s">
        <v>1343</v>
      </c>
      <c r="C144" s="4" t="s">
        <v>599</v>
      </c>
      <c r="D144" s="4" t="str">
        <f t="shared" si="47"/>
        <v>Oscar DVD/Home Theatre System</v>
      </c>
      <c r="E144" s="5" t="str">
        <f t="shared" si="37"/>
        <v>Oscar DVD/Home Theatre System Remotes</v>
      </c>
      <c r="F144" s="4" t="str">
        <f t="shared" si="38"/>
        <v>Oscar DVD/Home Theatre System Remote Control</v>
      </c>
      <c r="G144" s="4" t="str">
        <f t="shared" si="39"/>
        <v>Remote for Oscar DVD/Home Theatre System</v>
      </c>
      <c r="H144" s="4" t="str">
        <f t="shared" si="50"/>
        <v>Oscar Home Theatre System Remote</v>
      </c>
      <c r="I144" s="4" t="str">
        <f t="shared" si="40"/>
        <v>DVD/Home Theatre System Remote for Oscar DVD/Home Theatre System</v>
      </c>
      <c r="J144" s="4" t="str">
        <f t="shared" si="51"/>
        <v>Oscar DVD Remote</v>
      </c>
      <c r="K144" s="4" t="s">
        <v>646</v>
      </c>
      <c r="M144" s="4" t="str">
        <f t="shared" si="52"/>
        <v>oscar dvd audio home theatre sound system sound bar remote control original</v>
      </c>
      <c r="N144" s="4" t="str">
        <f t="shared" si="41"/>
        <v>Compatible Oscar DVD/Home Theatre System Remotes</v>
      </c>
      <c r="O144" s="1" t="str">
        <f t="shared" si="42"/>
        <v>Get Any Compatible Oscar DVD/Home Theatre System Remotes Easily at Your Door-steps</v>
      </c>
      <c r="P144" s="1" t="str">
        <f t="shared" si="43"/>
        <v>Upix® Compatible Oscar DVD/Home Theatre System Remotes</v>
      </c>
      <c r="Q144" s="1" t="str">
        <f t="shared" si="44"/>
        <v>Get Any Upix® Compatible Oscar DVD/Home Theatre System Remotes Easily at Your Door-steps</v>
      </c>
      <c r="R144" s="1" t="s">
        <v>643</v>
      </c>
      <c r="S144" s="4" t="str">
        <f t="shared" si="45"/>
        <v>Upix® Compatible Oscar DVD/Home Theatre System Remotes</v>
      </c>
      <c r="T144" s="1" t="s">
        <v>644</v>
      </c>
    </row>
    <row r="145" spans="1:20" x14ac:dyDescent="0.3">
      <c r="A145" s="4">
        <v>144</v>
      </c>
      <c r="B145" s="4" t="s">
        <v>1343</v>
      </c>
      <c r="C145" s="4" t="s">
        <v>600</v>
      </c>
      <c r="D145" s="4" t="str">
        <f t="shared" si="47"/>
        <v>Target DVD/Home Theatre System</v>
      </c>
      <c r="E145" s="5" t="str">
        <f t="shared" si="37"/>
        <v>Target DVD/Home Theatre System Remotes</v>
      </c>
      <c r="F145" s="4" t="str">
        <f t="shared" si="38"/>
        <v>Target DVD/Home Theatre System Remote Control</v>
      </c>
      <c r="G145" s="4" t="str">
        <f t="shared" si="39"/>
        <v>Remote for Target DVD/Home Theatre System</v>
      </c>
      <c r="H145" s="4" t="str">
        <f t="shared" si="50"/>
        <v>Target Home Theatre System Remote</v>
      </c>
      <c r="I145" s="4" t="str">
        <f t="shared" si="40"/>
        <v>DVD/Home Theatre System Remote for Target DVD/Home Theatre System</v>
      </c>
      <c r="J145" s="4" t="str">
        <f t="shared" si="51"/>
        <v>Target DVD Remote</v>
      </c>
      <c r="K145" s="4" t="s">
        <v>646</v>
      </c>
      <c r="M145" s="4" t="str">
        <f t="shared" si="52"/>
        <v>target dvd audio home theatre sound system sound bar remote control original</v>
      </c>
      <c r="N145" s="4" t="str">
        <f t="shared" si="41"/>
        <v>Compatible Target DVD/Home Theatre System Remotes</v>
      </c>
      <c r="O145" s="1" t="str">
        <f t="shared" si="42"/>
        <v>Get Any Compatible Target DVD/Home Theatre System Remotes Easily at Your Door-steps</v>
      </c>
      <c r="P145" s="1" t="str">
        <f t="shared" si="43"/>
        <v>Upix® Compatible Target DVD/Home Theatre System Remotes</v>
      </c>
      <c r="Q145" s="1" t="str">
        <f t="shared" si="44"/>
        <v>Get Any Upix® Compatible Target DVD/Home Theatre System Remotes Easily at Your Door-steps</v>
      </c>
      <c r="R145" s="1" t="s">
        <v>643</v>
      </c>
      <c r="S145" s="4" t="str">
        <f t="shared" si="45"/>
        <v>Upix® Compatible Target DVD/Home Theatre System Remotes</v>
      </c>
      <c r="T145" s="1" t="s">
        <v>644</v>
      </c>
    </row>
    <row r="146" spans="1:20" x14ac:dyDescent="0.3">
      <c r="A146" s="4">
        <v>145</v>
      </c>
      <c r="B146" s="4" t="s">
        <v>1343</v>
      </c>
      <c r="C146" s="4" t="s">
        <v>601</v>
      </c>
      <c r="D146" s="4" t="str">
        <f t="shared" si="47"/>
        <v>Takai DVD/Home Theatre System</v>
      </c>
      <c r="E146" s="5" t="str">
        <f t="shared" si="37"/>
        <v>Takai DVD/Home Theatre System Remotes</v>
      </c>
      <c r="F146" s="4" t="str">
        <f t="shared" si="38"/>
        <v>Takai DVD/Home Theatre System Remote Control</v>
      </c>
      <c r="G146" s="4" t="str">
        <f t="shared" si="39"/>
        <v>Remote for Takai DVD/Home Theatre System</v>
      </c>
      <c r="H146" s="4" t="str">
        <f t="shared" si="50"/>
        <v>Takai Home Theatre System Remote</v>
      </c>
      <c r="I146" s="4" t="str">
        <f t="shared" si="40"/>
        <v>DVD/Home Theatre System Remote for Takai DVD/Home Theatre System</v>
      </c>
      <c r="J146" s="4" t="str">
        <f t="shared" si="51"/>
        <v>Takai DVD Remote</v>
      </c>
      <c r="K146" s="4" t="s">
        <v>646</v>
      </c>
      <c r="M146" s="4" t="str">
        <f t="shared" si="52"/>
        <v>takai dvd audio home theatre sound system sound bar remote control original</v>
      </c>
      <c r="N146" s="4" t="str">
        <f t="shared" si="41"/>
        <v>Compatible Takai DVD/Home Theatre System Remotes</v>
      </c>
      <c r="O146" s="1" t="str">
        <f t="shared" si="42"/>
        <v>Get Any Compatible Takai DVD/Home Theatre System Remotes Easily at Your Door-steps</v>
      </c>
      <c r="P146" s="1" t="str">
        <f t="shared" si="43"/>
        <v>Upix® Compatible Takai DVD/Home Theatre System Remotes</v>
      </c>
      <c r="Q146" s="1" t="str">
        <f t="shared" si="44"/>
        <v>Get Any Upix® Compatible Takai DVD/Home Theatre System Remotes Easily at Your Door-steps</v>
      </c>
      <c r="R146" s="1" t="s">
        <v>643</v>
      </c>
      <c r="S146" s="4" t="str">
        <f t="shared" si="45"/>
        <v>Upix® Compatible Takai DVD/Home Theatre System Remotes</v>
      </c>
      <c r="T146" s="1" t="s">
        <v>644</v>
      </c>
    </row>
    <row r="147" spans="1:20" x14ac:dyDescent="0.3">
      <c r="A147" s="4">
        <v>146</v>
      </c>
      <c r="B147" s="4" t="s">
        <v>1343</v>
      </c>
      <c r="C147" s="4" t="s">
        <v>602</v>
      </c>
      <c r="D147" s="4" t="str">
        <f t="shared" si="47"/>
        <v>F&amp;D DVD/Home Theatre System</v>
      </c>
      <c r="E147" s="5" t="str">
        <f t="shared" si="37"/>
        <v>F&amp;D DVD/Home Theatre System Remotes</v>
      </c>
      <c r="F147" s="4" t="str">
        <f t="shared" si="38"/>
        <v>F&amp;D DVD/Home Theatre System Remote Control</v>
      </c>
      <c r="G147" s="4" t="str">
        <f t="shared" si="39"/>
        <v>Remote for F&amp;D DVD/Home Theatre System</v>
      </c>
      <c r="H147" s="4" t="str">
        <f t="shared" si="50"/>
        <v>F&amp;D Home Theatre System Remote</v>
      </c>
      <c r="I147" s="4" t="str">
        <f t="shared" si="40"/>
        <v>DVD/Home Theatre System Remote for F&amp;D DVD/Home Theatre System</v>
      </c>
      <c r="J147" s="4" t="str">
        <f t="shared" si="51"/>
        <v>F&amp;D DVD Remote</v>
      </c>
      <c r="K147" s="4" t="s">
        <v>646</v>
      </c>
      <c r="M147" s="4" t="str">
        <f t="shared" si="52"/>
        <v>f&amp;d dvd audio home theatre sound system sound bar remote control original</v>
      </c>
      <c r="N147" s="4" t="str">
        <f t="shared" si="41"/>
        <v>Compatible F&amp;D DVD/Home Theatre System Remotes</v>
      </c>
      <c r="O147" s="1" t="str">
        <f t="shared" si="42"/>
        <v>Get Any Compatible F&amp;D DVD/Home Theatre System Remotes Easily at Your Door-steps</v>
      </c>
      <c r="P147" s="1" t="str">
        <f t="shared" si="43"/>
        <v>Upix® Compatible F&amp;D DVD/Home Theatre System Remotes</v>
      </c>
      <c r="Q147" s="1" t="str">
        <f t="shared" si="44"/>
        <v>Get Any Upix® Compatible F&amp;D DVD/Home Theatre System Remotes Easily at Your Door-steps</v>
      </c>
      <c r="R147" s="1" t="s">
        <v>643</v>
      </c>
      <c r="S147" s="4" t="str">
        <f t="shared" si="45"/>
        <v>Upix® Compatible F&amp;D DVD/Home Theatre System Remotes</v>
      </c>
      <c r="T147" s="1" t="s">
        <v>644</v>
      </c>
    </row>
    <row r="148" spans="1:20" x14ac:dyDescent="0.3">
      <c r="A148" s="4">
        <v>147</v>
      </c>
      <c r="B148" s="4" t="s">
        <v>1343</v>
      </c>
      <c r="C148" s="4" t="s">
        <v>603</v>
      </c>
      <c r="D148" s="4" t="str">
        <f t="shared" si="47"/>
        <v>Dapic DVD/Home Theatre System</v>
      </c>
      <c r="E148" s="5" t="str">
        <f t="shared" si="37"/>
        <v>Dapic DVD/Home Theatre System Remotes</v>
      </c>
      <c r="F148" s="4" t="str">
        <f t="shared" si="38"/>
        <v>Dapic DVD/Home Theatre System Remote Control</v>
      </c>
      <c r="G148" s="4" t="str">
        <f t="shared" si="39"/>
        <v>Remote for Dapic DVD/Home Theatre System</v>
      </c>
      <c r="H148" s="4" t="str">
        <f t="shared" si="50"/>
        <v>Dapic Home Theatre System Remote</v>
      </c>
      <c r="I148" s="4" t="str">
        <f t="shared" si="40"/>
        <v>DVD/Home Theatre System Remote for Dapic DVD/Home Theatre System</v>
      </c>
      <c r="J148" s="4" t="str">
        <f t="shared" si="51"/>
        <v>Dapic DVD Remote</v>
      </c>
      <c r="K148" s="4" t="s">
        <v>646</v>
      </c>
      <c r="M148" s="4" t="str">
        <f t="shared" si="52"/>
        <v>dapic dvd audio home theatre sound system sound bar remote control original</v>
      </c>
      <c r="N148" s="4" t="str">
        <f t="shared" si="41"/>
        <v>Compatible Dapic DVD/Home Theatre System Remotes</v>
      </c>
      <c r="O148" s="1" t="str">
        <f t="shared" si="42"/>
        <v>Get Any Compatible Dapic DVD/Home Theatre System Remotes Easily at Your Door-steps</v>
      </c>
      <c r="P148" s="1" t="str">
        <f t="shared" si="43"/>
        <v>Upix® Compatible Dapic DVD/Home Theatre System Remotes</v>
      </c>
      <c r="Q148" s="1" t="str">
        <f t="shared" si="44"/>
        <v>Get Any Upix® Compatible Dapic DVD/Home Theatre System Remotes Easily at Your Door-steps</v>
      </c>
      <c r="R148" s="1" t="s">
        <v>643</v>
      </c>
      <c r="S148" s="4" t="str">
        <f t="shared" si="45"/>
        <v>Upix® Compatible Dapic DVD/Home Theatre System Remotes</v>
      </c>
      <c r="T148" s="1" t="s">
        <v>644</v>
      </c>
    </row>
    <row r="149" spans="1:20" x14ac:dyDescent="0.3">
      <c r="A149" s="4">
        <v>148</v>
      </c>
      <c r="B149" s="4" t="s">
        <v>1343</v>
      </c>
      <c r="C149" s="4" t="s">
        <v>604</v>
      </c>
      <c r="D149" s="4" t="str">
        <f t="shared" si="47"/>
        <v>CTS DVD/Home Theatre System</v>
      </c>
      <c r="E149" s="5" t="str">
        <f t="shared" si="37"/>
        <v>CTS DVD/Home Theatre System Remotes</v>
      </c>
      <c r="F149" s="4" t="str">
        <f t="shared" si="38"/>
        <v>CTS DVD/Home Theatre System Remote Control</v>
      </c>
      <c r="G149" s="4" t="str">
        <f t="shared" si="39"/>
        <v>Remote for CTS DVD/Home Theatre System</v>
      </c>
      <c r="H149" s="4" t="str">
        <f t="shared" si="50"/>
        <v>CTS Home Theatre System Remote</v>
      </c>
      <c r="I149" s="4" t="str">
        <f t="shared" si="40"/>
        <v>DVD/Home Theatre System Remote for CTS DVD/Home Theatre System</v>
      </c>
      <c r="J149" s="4" t="str">
        <f t="shared" si="51"/>
        <v>CTS DVD Remote</v>
      </c>
      <c r="K149" s="4" t="s">
        <v>646</v>
      </c>
      <c r="M149" s="4" t="str">
        <f t="shared" si="52"/>
        <v>cts dvd audio home theatre sound system sound bar remote control original</v>
      </c>
      <c r="N149" s="4" t="str">
        <f t="shared" si="41"/>
        <v>Compatible CTS DVD/Home Theatre System Remotes</v>
      </c>
      <c r="O149" s="1" t="str">
        <f t="shared" si="42"/>
        <v>Get Any Compatible CTS DVD/Home Theatre System Remotes Easily at Your Door-steps</v>
      </c>
      <c r="P149" s="1" t="str">
        <f t="shared" si="43"/>
        <v>Upix® Compatible CTS DVD/Home Theatre System Remotes</v>
      </c>
      <c r="Q149" s="1" t="str">
        <f t="shared" si="44"/>
        <v>Get Any Upix® Compatible CTS DVD/Home Theatre System Remotes Easily at Your Door-steps</v>
      </c>
      <c r="R149" s="1" t="s">
        <v>643</v>
      </c>
      <c r="S149" s="4" t="str">
        <f t="shared" si="45"/>
        <v>Upix® Compatible CTS DVD/Home Theatre System Remotes</v>
      </c>
      <c r="T149" s="1" t="s">
        <v>644</v>
      </c>
    </row>
    <row r="150" spans="1:20" x14ac:dyDescent="0.3">
      <c r="A150" s="4">
        <v>149</v>
      </c>
      <c r="B150" s="4" t="s">
        <v>1343</v>
      </c>
      <c r="C150" s="4" t="s">
        <v>605</v>
      </c>
      <c r="D150" s="4" t="str">
        <f t="shared" si="47"/>
        <v>Enkor DVD/Home Theatre System</v>
      </c>
      <c r="E150" s="5" t="str">
        <f t="shared" si="37"/>
        <v>Enkor DVD/Home Theatre System Remotes</v>
      </c>
      <c r="F150" s="4" t="str">
        <f t="shared" si="38"/>
        <v>Enkor DVD/Home Theatre System Remote Control</v>
      </c>
      <c r="G150" s="4" t="str">
        <f t="shared" si="39"/>
        <v>Remote for Enkor DVD/Home Theatre System</v>
      </c>
      <c r="H150" s="4" t="str">
        <f t="shared" si="50"/>
        <v>Enkor Home Theatre System Remote</v>
      </c>
      <c r="I150" s="4" t="str">
        <f t="shared" si="40"/>
        <v>DVD/Home Theatre System Remote for Enkor DVD/Home Theatre System</v>
      </c>
      <c r="J150" s="4" t="str">
        <f t="shared" si="51"/>
        <v>Enkor DVD Remote</v>
      </c>
      <c r="K150" s="4" t="s">
        <v>646</v>
      </c>
      <c r="M150" s="4" t="str">
        <f t="shared" si="52"/>
        <v>enkor dvd audio home theatre sound system sound bar remote control original</v>
      </c>
      <c r="N150" s="4" t="str">
        <f t="shared" si="41"/>
        <v>Compatible Enkor DVD/Home Theatre System Remotes</v>
      </c>
      <c r="O150" s="1" t="str">
        <f t="shared" si="42"/>
        <v>Get Any Compatible Enkor DVD/Home Theatre System Remotes Easily at Your Door-steps</v>
      </c>
      <c r="P150" s="1" t="str">
        <f t="shared" si="43"/>
        <v>Upix® Compatible Enkor DVD/Home Theatre System Remotes</v>
      </c>
      <c r="Q150" s="1" t="str">
        <f t="shared" si="44"/>
        <v>Get Any Upix® Compatible Enkor DVD/Home Theatre System Remotes Easily at Your Door-steps</v>
      </c>
      <c r="R150" s="1" t="s">
        <v>643</v>
      </c>
      <c r="S150" s="4" t="str">
        <f t="shared" si="45"/>
        <v>Upix® Compatible Enkor DVD/Home Theatre System Remotes</v>
      </c>
      <c r="T150" s="1" t="s">
        <v>644</v>
      </c>
    </row>
    <row r="151" spans="1:20" x14ac:dyDescent="0.3">
      <c r="A151" s="4">
        <v>150</v>
      </c>
      <c r="B151" s="4" t="s">
        <v>1343</v>
      </c>
      <c r="C151" s="4" t="s">
        <v>606</v>
      </c>
      <c r="D151" s="4" t="str">
        <f t="shared" si="47"/>
        <v>Stone DVD/Home Theatre System</v>
      </c>
      <c r="E151" s="5" t="str">
        <f t="shared" si="37"/>
        <v>Stone DVD/Home Theatre System Remotes</v>
      </c>
      <c r="F151" s="4" t="str">
        <f t="shared" si="38"/>
        <v>Stone DVD/Home Theatre System Remote Control</v>
      </c>
      <c r="G151" s="4" t="str">
        <f t="shared" si="39"/>
        <v>Remote for Stone DVD/Home Theatre System</v>
      </c>
      <c r="H151" s="4" t="str">
        <f t="shared" si="50"/>
        <v>Stone Home Theatre System Remote</v>
      </c>
      <c r="I151" s="4" t="str">
        <f t="shared" si="40"/>
        <v>DVD/Home Theatre System Remote for Stone DVD/Home Theatre System</v>
      </c>
      <c r="J151" s="4" t="str">
        <f t="shared" si="51"/>
        <v>Stone DVD Remote</v>
      </c>
      <c r="K151" s="4" t="s">
        <v>646</v>
      </c>
      <c r="M151" s="4" t="str">
        <f t="shared" si="52"/>
        <v>stone dvd audio home theatre sound system sound bar remote control original</v>
      </c>
      <c r="N151" s="4" t="str">
        <f t="shared" si="41"/>
        <v>Compatible Stone DVD/Home Theatre System Remotes</v>
      </c>
      <c r="O151" s="1" t="str">
        <f t="shared" si="42"/>
        <v>Get Any Compatible Stone DVD/Home Theatre System Remotes Easily at Your Door-steps</v>
      </c>
      <c r="P151" s="1" t="str">
        <f t="shared" si="43"/>
        <v>Upix® Compatible Stone DVD/Home Theatre System Remotes</v>
      </c>
      <c r="Q151" s="1" t="str">
        <f t="shared" si="44"/>
        <v>Get Any Upix® Compatible Stone DVD/Home Theatre System Remotes Easily at Your Door-steps</v>
      </c>
      <c r="R151" s="1" t="s">
        <v>643</v>
      </c>
      <c r="S151" s="4" t="str">
        <f t="shared" si="45"/>
        <v>Upix® Compatible Stone DVD/Home Theatre System Remotes</v>
      </c>
      <c r="T151" s="1" t="s">
        <v>644</v>
      </c>
    </row>
    <row r="152" spans="1:20" x14ac:dyDescent="0.3">
      <c r="A152" s="4">
        <v>151</v>
      </c>
      <c r="B152" s="4" t="s">
        <v>1343</v>
      </c>
      <c r="C152" s="4" t="s">
        <v>607</v>
      </c>
      <c r="D152" s="4" t="str">
        <f t="shared" si="47"/>
        <v>Richardo DVD/Home Theatre System</v>
      </c>
      <c r="E152" s="5" t="str">
        <f t="shared" si="37"/>
        <v>Richardo DVD/Home Theatre System Remotes</v>
      </c>
      <c r="F152" s="4" t="str">
        <f t="shared" si="38"/>
        <v>Richardo DVD/Home Theatre System Remote Control</v>
      </c>
      <c r="G152" s="4" t="str">
        <f t="shared" si="39"/>
        <v>Remote for Richardo DVD/Home Theatre System</v>
      </c>
      <c r="H152" s="4" t="str">
        <f t="shared" si="50"/>
        <v>Richardo Home Theatre System Remote</v>
      </c>
      <c r="I152" s="4" t="str">
        <f t="shared" si="40"/>
        <v>DVD/Home Theatre System Remote for Richardo DVD/Home Theatre System</v>
      </c>
      <c r="J152" s="4" t="str">
        <f t="shared" si="51"/>
        <v>Richardo DVD Remote</v>
      </c>
      <c r="K152" s="4" t="s">
        <v>646</v>
      </c>
      <c r="M152" s="4" t="str">
        <f t="shared" si="52"/>
        <v>richardo dvd audio home theatre sound system sound bar remote control original</v>
      </c>
      <c r="N152" s="4" t="str">
        <f t="shared" si="41"/>
        <v>Compatible Richardo DVD/Home Theatre System Remotes</v>
      </c>
      <c r="O152" s="1" t="str">
        <f t="shared" si="42"/>
        <v>Get Any Compatible Richardo DVD/Home Theatre System Remotes Easily at Your Door-steps</v>
      </c>
      <c r="P152" s="1" t="str">
        <f t="shared" si="43"/>
        <v>Upix® Compatible Richardo DVD/Home Theatre System Remotes</v>
      </c>
      <c r="Q152" s="1" t="str">
        <f t="shared" si="44"/>
        <v>Get Any Upix® Compatible Richardo DVD/Home Theatre System Remotes Easily at Your Door-steps</v>
      </c>
      <c r="R152" s="1" t="s">
        <v>643</v>
      </c>
      <c r="S152" s="4" t="str">
        <f t="shared" si="45"/>
        <v>Upix® Compatible Richardo DVD/Home Theatre System Remotes</v>
      </c>
      <c r="T152" s="1" t="s">
        <v>644</v>
      </c>
    </row>
    <row r="153" spans="1:20" x14ac:dyDescent="0.3">
      <c r="A153" s="4">
        <v>152</v>
      </c>
      <c r="B153" s="4" t="s">
        <v>1343</v>
      </c>
      <c r="C153" s="4" t="s">
        <v>608</v>
      </c>
      <c r="D153" s="4" t="str">
        <f t="shared" si="47"/>
        <v>Impex DVD/Home Theatre System</v>
      </c>
      <c r="E153" s="5" t="str">
        <f t="shared" si="37"/>
        <v>Impex DVD/Home Theatre System Remotes</v>
      </c>
      <c r="F153" s="4" t="str">
        <f t="shared" si="38"/>
        <v>Impex DVD/Home Theatre System Remote Control</v>
      </c>
      <c r="G153" s="4" t="str">
        <f t="shared" si="39"/>
        <v>Remote for Impex DVD/Home Theatre System</v>
      </c>
      <c r="H153" s="4" t="str">
        <f t="shared" si="50"/>
        <v>Impex Home Theatre System Remote</v>
      </c>
      <c r="I153" s="4" t="str">
        <f t="shared" si="40"/>
        <v>DVD/Home Theatre System Remote for Impex DVD/Home Theatre System</v>
      </c>
      <c r="J153" s="4" t="str">
        <f t="shared" si="51"/>
        <v>Impex DVD Remote</v>
      </c>
      <c r="K153" s="4" t="s">
        <v>646</v>
      </c>
      <c r="M153" s="4" t="str">
        <f t="shared" si="52"/>
        <v>impex dvd audio home theatre sound system sound bar remote control original</v>
      </c>
      <c r="N153" s="4" t="str">
        <f t="shared" si="41"/>
        <v>Compatible Impex DVD/Home Theatre System Remotes</v>
      </c>
      <c r="O153" s="1" t="str">
        <f t="shared" si="42"/>
        <v>Get Any Compatible Impex DVD/Home Theatre System Remotes Easily at Your Door-steps</v>
      </c>
      <c r="P153" s="1" t="str">
        <f t="shared" si="43"/>
        <v>Upix® Compatible Impex DVD/Home Theatre System Remotes</v>
      </c>
      <c r="Q153" s="1" t="str">
        <f t="shared" si="44"/>
        <v>Get Any Upix® Compatible Impex DVD/Home Theatre System Remotes Easily at Your Door-steps</v>
      </c>
      <c r="R153" s="1" t="s">
        <v>643</v>
      </c>
      <c r="S153" s="4" t="str">
        <f t="shared" si="45"/>
        <v>Upix® Compatible Impex DVD/Home Theatre System Remotes</v>
      </c>
      <c r="T153" s="1" t="s">
        <v>644</v>
      </c>
    </row>
    <row r="154" spans="1:20" x14ac:dyDescent="0.3">
      <c r="A154" s="4">
        <v>153</v>
      </c>
      <c r="B154" s="4" t="s">
        <v>1343</v>
      </c>
      <c r="C154" s="4" t="s">
        <v>609</v>
      </c>
      <c r="D154" s="4" t="str">
        <f t="shared" si="47"/>
        <v>iBall DVD/Home Theatre System</v>
      </c>
      <c r="E154" s="5" t="str">
        <f t="shared" si="37"/>
        <v>iBall DVD/Home Theatre System Remotes</v>
      </c>
      <c r="F154" s="4" t="str">
        <f t="shared" si="38"/>
        <v>iBall DVD/Home Theatre System Remote Control</v>
      </c>
      <c r="G154" s="4" t="str">
        <f t="shared" si="39"/>
        <v>Remote for iBall DVD/Home Theatre System</v>
      </c>
      <c r="H154" s="4" t="str">
        <f t="shared" si="50"/>
        <v>iBall Home Theatre System Remote</v>
      </c>
      <c r="I154" s="4" t="str">
        <f t="shared" si="40"/>
        <v>DVD/Home Theatre System Remote for iBall DVD/Home Theatre System</v>
      </c>
      <c r="J154" s="4" t="str">
        <f t="shared" si="51"/>
        <v>iBall DVD Remote</v>
      </c>
      <c r="K154" s="4" t="s">
        <v>646</v>
      </c>
      <c r="M154" s="4" t="str">
        <f t="shared" si="52"/>
        <v>iball dvd audio home theatre sound system sound bar remote control original</v>
      </c>
      <c r="N154" s="4" t="str">
        <f t="shared" si="41"/>
        <v>Compatible iBall DVD/Home Theatre System Remotes</v>
      </c>
      <c r="O154" s="1" t="str">
        <f t="shared" si="42"/>
        <v>Get Any Compatible iBall DVD/Home Theatre System Remotes Easily at Your Door-steps</v>
      </c>
      <c r="P154" s="1" t="str">
        <f t="shared" si="43"/>
        <v>Upix® Compatible iBall DVD/Home Theatre System Remotes</v>
      </c>
      <c r="Q154" s="1" t="str">
        <f t="shared" si="44"/>
        <v>Get Any Upix® Compatible iBall DVD/Home Theatre System Remotes Easily at Your Door-steps</v>
      </c>
      <c r="R154" s="1" t="s">
        <v>643</v>
      </c>
      <c r="S154" s="4" t="str">
        <f t="shared" si="45"/>
        <v>Upix® Compatible iBall DVD/Home Theatre System Remotes</v>
      </c>
      <c r="T154" s="1" t="s">
        <v>644</v>
      </c>
    </row>
    <row r="155" spans="1:20" x14ac:dyDescent="0.3">
      <c r="A155" s="4">
        <v>154</v>
      </c>
      <c r="B155" s="4" t="s">
        <v>1343</v>
      </c>
      <c r="C155" s="4" t="s">
        <v>610</v>
      </c>
      <c r="D155" s="4" t="str">
        <f t="shared" si="47"/>
        <v>Mack DVD/Home Theatre System</v>
      </c>
      <c r="E155" s="5" t="str">
        <f t="shared" si="37"/>
        <v>Mack DVD/Home Theatre System Remotes</v>
      </c>
      <c r="F155" s="4" t="str">
        <f t="shared" si="38"/>
        <v>Mack DVD/Home Theatre System Remote Control</v>
      </c>
      <c r="G155" s="4" t="str">
        <f t="shared" si="39"/>
        <v>Remote for Mack DVD/Home Theatre System</v>
      </c>
      <c r="H155" s="4" t="str">
        <f t="shared" si="50"/>
        <v>Mack Home Theatre System Remote</v>
      </c>
      <c r="I155" s="4" t="str">
        <f t="shared" si="40"/>
        <v>DVD/Home Theatre System Remote for Mack DVD/Home Theatre System</v>
      </c>
      <c r="J155" s="4" t="str">
        <f t="shared" si="51"/>
        <v>Mack DVD Remote</v>
      </c>
      <c r="K155" s="4" t="s">
        <v>646</v>
      </c>
      <c r="M155" s="4" t="str">
        <f t="shared" si="52"/>
        <v>mack dvd audio home theatre sound system sound bar remote control original</v>
      </c>
      <c r="N155" s="4" t="str">
        <f t="shared" si="41"/>
        <v>Compatible Mack DVD/Home Theatre System Remotes</v>
      </c>
      <c r="O155" s="1" t="str">
        <f t="shared" si="42"/>
        <v>Get Any Compatible Mack DVD/Home Theatre System Remotes Easily at Your Door-steps</v>
      </c>
      <c r="P155" s="1" t="str">
        <f t="shared" si="43"/>
        <v>Upix® Compatible Mack DVD/Home Theatre System Remotes</v>
      </c>
      <c r="Q155" s="1" t="str">
        <f t="shared" si="44"/>
        <v>Get Any Upix® Compatible Mack DVD/Home Theatre System Remotes Easily at Your Door-steps</v>
      </c>
      <c r="R155" s="1" t="s">
        <v>643</v>
      </c>
      <c r="S155" s="4" t="str">
        <f t="shared" si="45"/>
        <v>Upix® Compatible Mack DVD/Home Theatre System Remotes</v>
      </c>
      <c r="T155" s="1" t="s">
        <v>644</v>
      </c>
    </row>
    <row r="156" spans="1:20" x14ac:dyDescent="0.3">
      <c r="A156" s="4">
        <v>155</v>
      </c>
      <c r="B156" s="4" t="s">
        <v>1343</v>
      </c>
      <c r="C156" s="4" t="s">
        <v>611</v>
      </c>
      <c r="D156" s="4" t="str">
        <f t="shared" si="47"/>
        <v>Humax DVD/Home Theatre System</v>
      </c>
      <c r="E156" s="5" t="str">
        <f t="shared" si="37"/>
        <v>Humax DVD/Home Theatre System Remotes</v>
      </c>
      <c r="F156" s="4" t="str">
        <f t="shared" si="38"/>
        <v>Humax DVD/Home Theatre System Remote Control</v>
      </c>
      <c r="G156" s="4" t="str">
        <f t="shared" si="39"/>
        <v>Remote for Humax DVD/Home Theatre System</v>
      </c>
      <c r="H156" s="4" t="str">
        <f t="shared" si="50"/>
        <v>Humax Home Theatre System Remote</v>
      </c>
      <c r="I156" s="4" t="str">
        <f t="shared" si="40"/>
        <v>DVD/Home Theatre System Remote for Humax DVD/Home Theatre System</v>
      </c>
      <c r="J156" s="4" t="str">
        <f t="shared" si="51"/>
        <v>Humax DVD Remote</v>
      </c>
      <c r="K156" s="4" t="s">
        <v>646</v>
      </c>
      <c r="M156" s="4" t="str">
        <f t="shared" si="52"/>
        <v>humax dvd audio home theatre sound system sound bar remote control original</v>
      </c>
      <c r="N156" s="4" t="str">
        <f t="shared" si="41"/>
        <v>Compatible Humax DVD/Home Theatre System Remotes</v>
      </c>
      <c r="O156" s="1" t="str">
        <f t="shared" si="42"/>
        <v>Get Any Compatible Humax DVD/Home Theatre System Remotes Easily at Your Door-steps</v>
      </c>
      <c r="P156" s="1" t="str">
        <f t="shared" si="43"/>
        <v>Upix® Compatible Humax DVD/Home Theatre System Remotes</v>
      </c>
      <c r="Q156" s="1" t="str">
        <f t="shared" si="44"/>
        <v>Get Any Upix® Compatible Humax DVD/Home Theatre System Remotes Easily at Your Door-steps</v>
      </c>
      <c r="R156" s="1" t="s">
        <v>643</v>
      </c>
      <c r="S156" s="4" t="str">
        <f t="shared" si="45"/>
        <v>Upix® Compatible Humax DVD/Home Theatre System Remotes</v>
      </c>
      <c r="T156" s="1" t="s">
        <v>644</v>
      </c>
    </row>
    <row r="157" spans="1:20" x14ac:dyDescent="0.3">
      <c r="A157" s="4">
        <v>156</v>
      </c>
      <c r="B157" s="4" t="s">
        <v>1343</v>
      </c>
      <c r="C157" s="4" t="s">
        <v>612</v>
      </c>
      <c r="D157" s="4" t="str">
        <f t="shared" si="47"/>
        <v>Kingsonic DVD/Home Theatre System</v>
      </c>
      <c r="E157" s="5" t="str">
        <f t="shared" si="37"/>
        <v>Kingsonic DVD/Home Theatre System Remotes</v>
      </c>
      <c r="F157" s="4" t="str">
        <f t="shared" si="38"/>
        <v>Kingsonic DVD/Home Theatre System Remote Control</v>
      </c>
      <c r="G157" s="4" t="str">
        <f t="shared" si="39"/>
        <v>Remote for Kingsonic DVD/Home Theatre System</v>
      </c>
      <c r="H157" s="4" t="str">
        <f t="shared" si="50"/>
        <v>Kingsonic Home Theatre System Remote</v>
      </c>
      <c r="I157" s="4" t="str">
        <f t="shared" si="40"/>
        <v>DVD/Home Theatre System Remote for Kingsonic DVD/Home Theatre System</v>
      </c>
      <c r="J157" s="4" t="str">
        <f t="shared" si="51"/>
        <v>Kingsonic DVD Remote</v>
      </c>
      <c r="K157" s="4" t="s">
        <v>646</v>
      </c>
      <c r="M157" s="4" t="str">
        <f t="shared" si="52"/>
        <v>kingsonic dvd audio home theatre sound system sound bar remote control original</v>
      </c>
      <c r="N157" s="4" t="str">
        <f t="shared" si="41"/>
        <v>Compatible Kingsonic DVD/Home Theatre System Remotes</v>
      </c>
      <c r="O157" s="1" t="str">
        <f t="shared" si="42"/>
        <v>Get Any Compatible Kingsonic DVD/Home Theatre System Remotes Easily at Your Door-steps</v>
      </c>
      <c r="P157" s="1" t="str">
        <f t="shared" si="43"/>
        <v>Upix® Compatible Kingsonic DVD/Home Theatre System Remotes</v>
      </c>
      <c r="Q157" s="1" t="str">
        <f t="shared" si="44"/>
        <v>Get Any Upix® Compatible Kingsonic DVD/Home Theatre System Remotes Easily at Your Door-steps</v>
      </c>
      <c r="R157" s="1" t="s">
        <v>643</v>
      </c>
      <c r="S157" s="4" t="str">
        <f t="shared" si="45"/>
        <v>Upix® Compatible Kingsonic DVD/Home Theatre System Remotes</v>
      </c>
      <c r="T157" s="1" t="s">
        <v>644</v>
      </c>
    </row>
    <row r="158" spans="1:20" x14ac:dyDescent="0.3">
      <c r="A158" s="4">
        <v>157</v>
      </c>
      <c r="B158" s="4" t="s">
        <v>1343</v>
      </c>
      <c r="C158" s="4" t="s">
        <v>613</v>
      </c>
      <c r="D158" s="4" t="str">
        <f t="shared" si="47"/>
        <v>John Barrel DVD/Home Theatre System</v>
      </c>
      <c r="E158" s="5" t="str">
        <f t="shared" si="37"/>
        <v>John Barrel DVD/Home Theatre System Remotes</v>
      </c>
      <c r="F158" s="4" t="str">
        <f t="shared" si="38"/>
        <v>John Barrel DVD/Home Theatre System Remote Control</v>
      </c>
      <c r="G158" s="4" t="str">
        <f t="shared" si="39"/>
        <v>Remote for John Barrel DVD/Home Theatre System</v>
      </c>
      <c r="H158" s="4" t="str">
        <f t="shared" si="50"/>
        <v>John Barrel Home Theatre System Remote</v>
      </c>
      <c r="I158" s="4" t="str">
        <f t="shared" si="40"/>
        <v>DVD/Home Theatre System Remote for John Barrel DVD/Home Theatre System</v>
      </c>
      <c r="J158" s="4" t="str">
        <f t="shared" si="51"/>
        <v>John Barrel DVD Remote</v>
      </c>
      <c r="K158" s="4" t="s">
        <v>646</v>
      </c>
      <c r="M158" s="4" t="str">
        <f t="shared" si="52"/>
        <v>john barrel dvd audio home theatre sound system sound bar remote control original</v>
      </c>
      <c r="N158" s="4" t="str">
        <f t="shared" si="41"/>
        <v>Compatible John Barrel DVD/Home Theatre System Remotes</v>
      </c>
      <c r="O158" s="1" t="str">
        <f t="shared" si="42"/>
        <v>Get Any Compatible John Barrel DVD/Home Theatre System Remotes Easily at Your Door-steps</v>
      </c>
      <c r="P158" s="1" t="str">
        <f t="shared" si="43"/>
        <v>Upix® Compatible John Barrel DVD/Home Theatre System Remotes</v>
      </c>
      <c r="Q158" s="1" t="str">
        <f t="shared" si="44"/>
        <v>Get Any Upix® Compatible John Barrel DVD/Home Theatre System Remotes Easily at Your Door-steps</v>
      </c>
      <c r="R158" s="1" t="s">
        <v>643</v>
      </c>
      <c r="S158" s="4" t="str">
        <f t="shared" si="45"/>
        <v>Upix® Compatible John Barrel DVD/Home Theatre System Remotes</v>
      </c>
      <c r="T158" s="1" t="s">
        <v>644</v>
      </c>
    </row>
    <row r="159" spans="1:20" x14ac:dyDescent="0.3">
      <c r="A159" s="4">
        <v>158</v>
      </c>
      <c r="B159" s="4" t="s">
        <v>1343</v>
      </c>
      <c r="C159" s="4" t="s">
        <v>71</v>
      </c>
      <c r="D159" s="4" t="str">
        <f t="shared" si="47"/>
        <v>Marq DVD/Home Theatre System</v>
      </c>
      <c r="E159" s="5" t="str">
        <f t="shared" si="37"/>
        <v>Marq DVD/Home Theatre System Remotes</v>
      </c>
      <c r="F159" s="4" t="str">
        <f t="shared" si="38"/>
        <v>Marq DVD/Home Theatre System Remote Control</v>
      </c>
      <c r="G159" s="4" t="str">
        <f t="shared" si="39"/>
        <v>Remote for Marq DVD/Home Theatre System</v>
      </c>
      <c r="H159" s="4" t="str">
        <f t="shared" si="50"/>
        <v>Marq Home Theatre System Remote</v>
      </c>
      <c r="I159" s="4" t="str">
        <f t="shared" si="40"/>
        <v>DVD/Home Theatre System Remote for Marq DVD/Home Theatre System</v>
      </c>
      <c r="J159" s="4" t="str">
        <f t="shared" si="51"/>
        <v>Marq DVD Remote</v>
      </c>
      <c r="K159" s="4" t="s">
        <v>646</v>
      </c>
      <c r="M159" s="4" t="str">
        <f t="shared" si="52"/>
        <v>marq dvd audio home theatre sound system sound bar remote control original</v>
      </c>
      <c r="N159" s="4" t="str">
        <f t="shared" si="41"/>
        <v>Compatible Marq DVD/Home Theatre System Remotes</v>
      </c>
      <c r="O159" s="1" t="str">
        <f t="shared" si="42"/>
        <v>Get Any Compatible Marq DVD/Home Theatre System Remotes Easily at Your Door-steps</v>
      </c>
      <c r="P159" s="1" t="str">
        <f t="shared" si="43"/>
        <v>Upix® Compatible Marq DVD/Home Theatre System Remotes</v>
      </c>
      <c r="Q159" s="1" t="str">
        <f t="shared" si="44"/>
        <v>Get Any Upix® Compatible Marq DVD/Home Theatre System Remotes Easily at Your Door-steps</v>
      </c>
      <c r="R159" s="1" t="s">
        <v>643</v>
      </c>
      <c r="S159" s="4" t="str">
        <f t="shared" si="45"/>
        <v>Upix® Compatible Marq DVD/Home Theatre System Remotes</v>
      </c>
      <c r="T159" s="1" t="s">
        <v>644</v>
      </c>
    </row>
    <row r="160" spans="1:20" x14ac:dyDescent="0.3">
      <c r="A160" s="4">
        <v>159</v>
      </c>
      <c r="B160" s="4" t="s">
        <v>1343</v>
      </c>
      <c r="C160" s="4" t="s">
        <v>614</v>
      </c>
      <c r="D160" s="4" t="str">
        <f t="shared" si="47"/>
        <v>Yamaha DVD/Home Theatre System</v>
      </c>
      <c r="E160" s="5" t="str">
        <f t="shared" si="37"/>
        <v>Yamaha DVD/Home Theatre System Remotes</v>
      </c>
      <c r="F160" s="4" t="str">
        <f t="shared" si="38"/>
        <v>Yamaha DVD/Home Theatre System Remote Control</v>
      </c>
      <c r="G160" s="4" t="str">
        <f t="shared" si="39"/>
        <v>Remote for Yamaha DVD/Home Theatre System</v>
      </c>
      <c r="H160" s="4" t="str">
        <f t="shared" si="50"/>
        <v>Yamaha Home Theatre System Remote</v>
      </c>
      <c r="I160" s="4" t="str">
        <f t="shared" si="40"/>
        <v>DVD/Home Theatre System Remote for Yamaha DVD/Home Theatre System</v>
      </c>
      <c r="J160" s="4" t="str">
        <f t="shared" si="51"/>
        <v>Yamaha DVD Remote</v>
      </c>
      <c r="K160" s="4" t="s">
        <v>646</v>
      </c>
      <c r="M160" s="4" t="str">
        <f t="shared" si="52"/>
        <v>yamaha dvd audio home theatre sound system sound bar remote control original</v>
      </c>
      <c r="N160" s="4" t="str">
        <f t="shared" si="41"/>
        <v>Compatible Yamaha DVD/Home Theatre System Remotes</v>
      </c>
      <c r="O160" s="1" t="str">
        <f t="shared" si="42"/>
        <v>Get Any Compatible Yamaha DVD/Home Theatre System Remotes Easily at Your Door-steps</v>
      </c>
      <c r="P160" s="1" t="str">
        <f t="shared" si="43"/>
        <v>Upix® Compatible Yamaha DVD/Home Theatre System Remotes</v>
      </c>
      <c r="Q160" s="1" t="str">
        <f t="shared" si="44"/>
        <v>Get Any Upix® Compatible Yamaha DVD/Home Theatre System Remotes Easily at Your Door-steps</v>
      </c>
      <c r="R160" s="1" t="s">
        <v>643</v>
      </c>
      <c r="S160" s="4" t="str">
        <f t="shared" si="45"/>
        <v>Upix® Compatible Yamaha DVD/Home Theatre System Remotes</v>
      </c>
      <c r="T160" s="1" t="s">
        <v>644</v>
      </c>
    </row>
    <row r="161" spans="1:20" x14ac:dyDescent="0.3">
      <c r="A161" s="4">
        <v>160</v>
      </c>
      <c r="B161" s="4" t="s">
        <v>1359</v>
      </c>
      <c r="C161" s="4" t="s">
        <v>615</v>
      </c>
      <c r="D161" s="4" t="str">
        <f t="shared" si="47"/>
        <v>Swaroop Free Dish DTH/Set Top Box</v>
      </c>
      <c r="E161" s="5" t="str">
        <f t="shared" si="37"/>
        <v>Swaroop Free Dish DTH/Set Top Box Remotes</v>
      </c>
      <c r="F161" s="4" t="str">
        <f t="shared" si="38"/>
        <v>Swaroop Free Dish DTH/Set Top Box Remote Control</v>
      </c>
      <c r="G161" s="4" t="str">
        <f t="shared" si="39"/>
        <v>Remote for Swaroop Free Dish DTH/Set Top Box</v>
      </c>
      <c r="H161" s="4" t="str">
        <f t="shared" ref="H161:H168" si="53">C161&amp;" DTH Remote"</f>
        <v>Swaroop Free Dish DTH Remote</v>
      </c>
      <c r="I161" s="4" t="str">
        <f t="shared" si="40"/>
        <v>DTH/Set Top Box Remote for Swaroop Free Dish DTH/Set Top Box</v>
      </c>
      <c r="J161" s="4" t="str">
        <f t="shared" ref="J161:J168" si="54">C161&amp;" Set Top Box Remote"</f>
        <v>Swaroop Free Dish Set Top Box Remote</v>
      </c>
      <c r="K161" s="4" t="s">
        <v>646</v>
      </c>
      <c r="M161" s="4" t="str">
        <f t="shared" ref="M161:M168" si="55">LOWER(C161)&amp;" hd DTH D2H wifi satellite set top box remote control original"</f>
        <v>swaroop free dish hd DTH D2H wifi satellite set top box remote control original</v>
      </c>
      <c r="N161" s="4" t="str">
        <f t="shared" si="41"/>
        <v>Compatible Swaroop Free Dish DTH/Set Top Box Remotes</v>
      </c>
      <c r="O161" s="1" t="str">
        <f t="shared" si="42"/>
        <v>Get Any Compatible Swaroop Free Dish DTH/Set Top Box Remotes Easily at Your Door-steps</v>
      </c>
      <c r="P161" s="1" t="str">
        <f t="shared" si="43"/>
        <v>Upix® Compatible Swaroop Free Dish DTH/Set Top Box Remotes</v>
      </c>
      <c r="Q161" s="1" t="str">
        <f t="shared" si="44"/>
        <v>Get Any Upix® Compatible Swaroop Free Dish DTH/Set Top Box Remotes Easily at Your Door-steps</v>
      </c>
      <c r="R161" s="1" t="s">
        <v>643</v>
      </c>
      <c r="S161" s="4" t="str">
        <f t="shared" si="45"/>
        <v>Upix® Compatible Swaroop Free Dish DTH/Set Top Box Remotes</v>
      </c>
      <c r="T161" s="1" t="s">
        <v>644</v>
      </c>
    </row>
    <row r="162" spans="1:20" x14ac:dyDescent="0.3">
      <c r="A162" s="4">
        <v>161</v>
      </c>
      <c r="B162" s="4" t="s">
        <v>1359</v>
      </c>
      <c r="C162" s="4" t="s">
        <v>616</v>
      </c>
      <c r="D162" s="4" t="str">
        <f t="shared" si="47"/>
        <v>Solid Free Dish DTH/Set Top Box</v>
      </c>
      <c r="E162" s="5" t="str">
        <f t="shared" si="37"/>
        <v>Solid Free Dish DTH/Set Top Box Remotes</v>
      </c>
      <c r="F162" s="4" t="str">
        <f t="shared" si="38"/>
        <v>Solid Free Dish DTH/Set Top Box Remote Control</v>
      </c>
      <c r="G162" s="4" t="str">
        <f t="shared" si="39"/>
        <v>Remote for Solid Free Dish DTH/Set Top Box</v>
      </c>
      <c r="H162" s="4" t="str">
        <f t="shared" si="53"/>
        <v>Solid Free Dish DTH Remote</v>
      </c>
      <c r="I162" s="4" t="str">
        <f t="shared" si="40"/>
        <v>DTH/Set Top Box Remote for Solid Free Dish DTH/Set Top Box</v>
      </c>
      <c r="J162" s="4" t="str">
        <f t="shared" si="54"/>
        <v>Solid Free Dish Set Top Box Remote</v>
      </c>
      <c r="K162" s="4" t="s">
        <v>646</v>
      </c>
      <c r="M162" s="4" t="str">
        <f t="shared" si="55"/>
        <v>solid free dish hd DTH D2H wifi satellite set top box remote control original</v>
      </c>
      <c r="N162" s="4" t="str">
        <f t="shared" si="41"/>
        <v>Compatible Solid Free Dish DTH/Set Top Box Remotes</v>
      </c>
      <c r="O162" s="1" t="str">
        <f t="shared" si="42"/>
        <v>Get Any Compatible Solid Free Dish DTH/Set Top Box Remotes Easily at Your Door-steps</v>
      </c>
      <c r="P162" s="1" t="str">
        <f t="shared" si="43"/>
        <v>Upix® Compatible Solid Free Dish DTH/Set Top Box Remotes</v>
      </c>
      <c r="Q162" s="1" t="str">
        <f t="shared" si="44"/>
        <v>Get Any Upix® Compatible Solid Free Dish DTH/Set Top Box Remotes Easily at Your Door-steps</v>
      </c>
      <c r="R162" s="1" t="s">
        <v>643</v>
      </c>
      <c r="S162" s="4" t="str">
        <f t="shared" si="45"/>
        <v>Upix® Compatible Solid Free Dish DTH/Set Top Box Remotes</v>
      </c>
      <c r="T162" s="1" t="s">
        <v>644</v>
      </c>
    </row>
    <row r="163" spans="1:20" x14ac:dyDescent="0.3">
      <c r="A163" s="4">
        <v>162</v>
      </c>
      <c r="B163" s="4" t="s">
        <v>1359</v>
      </c>
      <c r="C163" s="4" t="s">
        <v>617</v>
      </c>
      <c r="D163" s="4" t="str">
        <f t="shared" si="47"/>
        <v>eLink Smart Free Dish DTH/Set Top Box</v>
      </c>
      <c r="E163" s="5" t="str">
        <f t="shared" si="37"/>
        <v>eLink Smart Free Dish DTH/Set Top Box Remotes</v>
      </c>
      <c r="F163" s="4" t="str">
        <f t="shared" si="38"/>
        <v>eLink Smart Free Dish DTH/Set Top Box Remote Control</v>
      </c>
      <c r="G163" s="4" t="str">
        <f t="shared" si="39"/>
        <v>Remote for eLink Smart Free Dish DTH/Set Top Box</v>
      </c>
      <c r="H163" s="4" t="str">
        <f t="shared" si="53"/>
        <v>eLink Smart Free Dish DTH Remote</v>
      </c>
      <c r="I163" s="4" t="str">
        <f t="shared" si="40"/>
        <v>DTH/Set Top Box Remote for eLink Smart Free Dish DTH/Set Top Box</v>
      </c>
      <c r="J163" s="4" t="str">
        <f t="shared" si="54"/>
        <v>eLink Smart Free Dish Set Top Box Remote</v>
      </c>
      <c r="K163" s="4" t="s">
        <v>646</v>
      </c>
      <c r="M163" s="4" t="str">
        <f t="shared" si="55"/>
        <v>elink smart free dish hd DTH D2H wifi satellite set top box remote control original</v>
      </c>
      <c r="N163" s="4" t="str">
        <f t="shared" si="41"/>
        <v>Compatible eLink Smart Free Dish DTH/Set Top Box Remotes</v>
      </c>
      <c r="O163" s="1" t="str">
        <f t="shared" si="42"/>
        <v>Get Any Compatible eLink Smart Free Dish DTH/Set Top Box Remotes Easily at Your Door-steps</v>
      </c>
      <c r="P163" s="1" t="str">
        <f t="shared" si="43"/>
        <v>Upix® Compatible eLink Smart Free Dish DTH/Set Top Box Remotes</v>
      </c>
      <c r="Q163" s="1" t="str">
        <f t="shared" si="44"/>
        <v>Get Any Upix® Compatible eLink Smart Free Dish DTH/Set Top Box Remotes Easily at Your Door-steps</v>
      </c>
      <c r="R163" s="1" t="s">
        <v>643</v>
      </c>
      <c r="S163" s="4" t="str">
        <f t="shared" si="45"/>
        <v>Upix® Compatible eLink Smart Free Dish DTH/Set Top Box Remotes</v>
      </c>
      <c r="T163" s="1" t="s">
        <v>644</v>
      </c>
    </row>
    <row r="164" spans="1:20" x14ac:dyDescent="0.3">
      <c r="A164" s="4">
        <v>163</v>
      </c>
      <c r="B164" s="4" t="s">
        <v>1359</v>
      </c>
      <c r="C164" s="4" t="s">
        <v>618</v>
      </c>
      <c r="D164" s="4" t="str">
        <f t="shared" si="47"/>
        <v>Pagaria Free Dish DTH/Set Top Box</v>
      </c>
      <c r="E164" s="5" t="str">
        <f t="shared" si="37"/>
        <v>Pagaria Free Dish DTH/Set Top Box Remotes</v>
      </c>
      <c r="F164" s="4" t="str">
        <f t="shared" si="38"/>
        <v>Pagaria Free Dish DTH/Set Top Box Remote Control</v>
      </c>
      <c r="G164" s="4" t="str">
        <f t="shared" si="39"/>
        <v>Remote for Pagaria Free Dish DTH/Set Top Box</v>
      </c>
      <c r="H164" s="4" t="str">
        <f t="shared" si="53"/>
        <v>Pagaria Free Dish DTH Remote</v>
      </c>
      <c r="I164" s="4" t="str">
        <f t="shared" si="40"/>
        <v>DTH/Set Top Box Remote for Pagaria Free Dish DTH/Set Top Box</v>
      </c>
      <c r="J164" s="4" t="str">
        <f t="shared" si="54"/>
        <v>Pagaria Free Dish Set Top Box Remote</v>
      </c>
      <c r="K164" s="4" t="s">
        <v>646</v>
      </c>
      <c r="M164" s="4" t="str">
        <f t="shared" si="55"/>
        <v>pagaria free dish hd DTH D2H wifi satellite set top box remote control original</v>
      </c>
      <c r="N164" s="4" t="str">
        <f t="shared" si="41"/>
        <v>Compatible Pagaria Free Dish DTH/Set Top Box Remotes</v>
      </c>
      <c r="O164" s="1" t="str">
        <f t="shared" si="42"/>
        <v>Get Any Compatible Pagaria Free Dish DTH/Set Top Box Remotes Easily at Your Door-steps</v>
      </c>
      <c r="P164" s="1" t="str">
        <f t="shared" si="43"/>
        <v>Upix® Compatible Pagaria Free Dish DTH/Set Top Box Remotes</v>
      </c>
      <c r="Q164" s="1" t="str">
        <f t="shared" si="44"/>
        <v>Get Any Upix® Compatible Pagaria Free Dish DTH/Set Top Box Remotes Easily at Your Door-steps</v>
      </c>
      <c r="R164" s="1" t="s">
        <v>643</v>
      </c>
      <c r="S164" s="4" t="str">
        <f t="shared" si="45"/>
        <v>Upix® Compatible Pagaria Free Dish DTH/Set Top Box Remotes</v>
      </c>
      <c r="T164" s="1" t="s">
        <v>644</v>
      </c>
    </row>
    <row r="165" spans="1:20" x14ac:dyDescent="0.3">
      <c r="A165" s="4">
        <v>164</v>
      </c>
      <c r="B165" s="4" t="s">
        <v>1359</v>
      </c>
      <c r="C165" s="4" t="s">
        <v>619</v>
      </c>
      <c r="D165" s="4" t="str">
        <f t="shared" si="47"/>
        <v>Melbon Free Dish DTH/Set Top Box</v>
      </c>
      <c r="E165" s="5" t="str">
        <f t="shared" si="37"/>
        <v>Melbon Free Dish DTH/Set Top Box Remotes</v>
      </c>
      <c r="F165" s="4" t="str">
        <f t="shared" si="38"/>
        <v>Melbon Free Dish DTH/Set Top Box Remote Control</v>
      </c>
      <c r="G165" s="4" t="str">
        <f t="shared" si="39"/>
        <v>Remote for Melbon Free Dish DTH/Set Top Box</v>
      </c>
      <c r="H165" s="4" t="str">
        <f t="shared" si="53"/>
        <v>Melbon Free Dish DTH Remote</v>
      </c>
      <c r="I165" s="4" t="str">
        <f t="shared" si="40"/>
        <v>DTH/Set Top Box Remote for Melbon Free Dish DTH/Set Top Box</v>
      </c>
      <c r="J165" s="4" t="str">
        <f t="shared" si="54"/>
        <v>Melbon Free Dish Set Top Box Remote</v>
      </c>
      <c r="K165" s="4" t="s">
        <v>646</v>
      </c>
      <c r="M165" s="4" t="str">
        <f t="shared" si="55"/>
        <v>melbon free dish hd DTH D2H wifi satellite set top box remote control original</v>
      </c>
      <c r="N165" s="4" t="str">
        <f t="shared" si="41"/>
        <v>Compatible Melbon Free Dish DTH/Set Top Box Remotes</v>
      </c>
      <c r="O165" s="1" t="str">
        <f t="shared" si="42"/>
        <v>Get Any Compatible Melbon Free Dish DTH/Set Top Box Remotes Easily at Your Door-steps</v>
      </c>
      <c r="P165" s="1" t="str">
        <f t="shared" si="43"/>
        <v>Upix® Compatible Melbon Free Dish DTH/Set Top Box Remotes</v>
      </c>
      <c r="Q165" s="1" t="str">
        <f t="shared" si="44"/>
        <v>Get Any Upix® Compatible Melbon Free Dish DTH/Set Top Box Remotes Easily at Your Door-steps</v>
      </c>
      <c r="R165" s="1" t="s">
        <v>643</v>
      </c>
      <c r="S165" s="4" t="str">
        <f t="shared" si="45"/>
        <v>Upix® Compatible Melbon Free Dish DTH/Set Top Box Remotes</v>
      </c>
      <c r="T165" s="1" t="s">
        <v>644</v>
      </c>
    </row>
    <row r="166" spans="1:20" x14ac:dyDescent="0.3">
      <c r="A166" s="4">
        <v>165</v>
      </c>
      <c r="B166" s="4" t="s">
        <v>1359</v>
      </c>
      <c r="C166" s="4" t="s">
        <v>620</v>
      </c>
      <c r="D166" s="4" t="str">
        <f t="shared" si="47"/>
        <v>STC Free Dish DTH/Set Top Box</v>
      </c>
      <c r="E166" s="5" t="str">
        <f t="shared" si="37"/>
        <v>STC Free Dish DTH/Set Top Box Remotes</v>
      </c>
      <c r="F166" s="4" t="str">
        <f t="shared" si="38"/>
        <v>STC Free Dish DTH/Set Top Box Remote Control</v>
      </c>
      <c r="G166" s="4" t="str">
        <f t="shared" si="39"/>
        <v>Remote for STC Free Dish DTH/Set Top Box</v>
      </c>
      <c r="H166" s="4" t="str">
        <f t="shared" si="53"/>
        <v>STC Free Dish DTH Remote</v>
      </c>
      <c r="I166" s="4" t="str">
        <f t="shared" si="40"/>
        <v>DTH/Set Top Box Remote for STC Free Dish DTH/Set Top Box</v>
      </c>
      <c r="J166" s="4" t="str">
        <f t="shared" si="54"/>
        <v>STC Free Dish Set Top Box Remote</v>
      </c>
      <c r="K166" s="4" t="s">
        <v>646</v>
      </c>
      <c r="M166" s="4" t="str">
        <f t="shared" si="55"/>
        <v>stc free dish hd DTH D2H wifi satellite set top box remote control original</v>
      </c>
      <c r="N166" s="4" t="str">
        <f t="shared" si="41"/>
        <v>Compatible STC Free Dish DTH/Set Top Box Remotes</v>
      </c>
      <c r="O166" s="1" t="str">
        <f t="shared" si="42"/>
        <v>Get Any Compatible STC Free Dish DTH/Set Top Box Remotes Easily at Your Door-steps</v>
      </c>
      <c r="P166" s="1" t="str">
        <f t="shared" si="43"/>
        <v>Upix® Compatible STC Free Dish DTH/Set Top Box Remotes</v>
      </c>
      <c r="Q166" s="1" t="str">
        <f t="shared" si="44"/>
        <v>Get Any Upix® Compatible STC Free Dish DTH/Set Top Box Remotes Easily at Your Door-steps</v>
      </c>
      <c r="R166" s="1" t="s">
        <v>643</v>
      </c>
      <c r="S166" s="4" t="str">
        <f t="shared" si="45"/>
        <v>Upix® Compatible STC Free Dish DTH/Set Top Box Remotes</v>
      </c>
      <c r="T166" s="1" t="s">
        <v>644</v>
      </c>
    </row>
    <row r="167" spans="1:20" x14ac:dyDescent="0.3">
      <c r="A167" s="4">
        <v>166</v>
      </c>
      <c r="B167" s="4" t="s">
        <v>1359</v>
      </c>
      <c r="C167" s="4" t="s">
        <v>621</v>
      </c>
      <c r="D167" s="4" t="str">
        <f t="shared" si="47"/>
        <v>NTEX Free Dish DTH/Set Top Box</v>
      </c>
      <c r="E167" s="5" t="str">
        <f t="shared" si="37"/>
        <v>NTEX Free Dish DTH/Set Top Box Remotes</v>
      </c>
      <c r="F167" s="4" t="str">
        <f t="shared" si="38"/>
        <v>NTEX Free Dish DTH/Set Top Box Remote Control</v>
      </c>
      <c r="G167" s="4" t="str">
        <f t="shared" si="39"/>
        <v>Remote for NTEX Free Dish DTH/Set Top Box</v>
      </c>
      <c r="H167" s="4" t="str">
        <f t="shared" si="53"/>
        <v>NTEX Free Dish DTH Remote</v>
      </c>
      <c r="I167" s="4" t="str">
        <f t="shared" si="40"/>
        <v>DTH/Set Top Box Remote for NTEX Free Dish DTH/Set Top Box</v>
      </c>
      <c r="J167" s="4" t="str">
        <f t="shared" si="54"/>
        <v>NTEX Free Dish Set Top Box Remote</v>
      </c>
      <c r="K167" s="4" t="s">
        <v>646</v>
      </c>
      <c r="M167" s="4" t="str">
        <f t="shared" si="55"/>
        <v>ntex free dish hd DTH D2H wifi satellite set top box remote control original</v>
      </c>
      <c r="N167" s="4" t="str">
        <f t="shared" si="41"/>
        <v>Compatible NTEX Free Dish DTH/Set Top Box Remotes</v>
      </c>
      <c r="O167" s="1" t="str">
        <f t="shared" si="42"/>
        <v>Get Any Compatible NTEX Free Dish DTH/Set Top Box Remotes Easily at Your Door-steps</v>
      </c>
      <c r="P167" s="1" t="str">
        <f t="shared" si="43"/>
        <v>Upix® Compatible NTEX Free Dish DTH/Set Top Box Remotes</v>
      </c>
      <c r="Q167" s="1" t="str">
        <f t="shared" si="44"/>
        <v>Get Any Upix® Compatible NTEX Free Dish DTH/Set Top Box Remotes Easily at Your Door-steps</v>
      </c>
      <c r="R167" s="1" t="s">
        <v>643</v>
      </c>
      <c r="S167" s="4" t="str">
        <f t="shared" si="45"/>
        <v>Upix® Compatible NTEX Free Dish DTH/Set Top Box Remotes</v>
      </c>
      <c r="T167" s="1" t="s">
        <v>644</v>
      </c>
    </row>
    <row r="168" spans="1:20" x14ac:dyDescent="0.3">
      <c r="A168" s="4">
        <v>167</v>
      </c>
      <c r="B168" s="4" t="s">
        <v>1359</v>
      </c>
      <c r="C168" s="4" t="s">
        <v>622</v>
      </c>
      <c r="D168" s="4" t="str">
        <f t="shared" si="47"/>
        <v>Feltron Free Dish DTH/Set Top Box</v>
      </c>
      <c r="E168" s="5" t="str">
        <f t="shared" si="37"/>
        <v>Feltron Free Dish DTH/Set Top Box Remotes</v>
      </c>
      <c r="F168" s="4" t="str">
        <f t="shared" si="38"/>
        <v>Feltron Free Dish DTH/Set Top Box Remote Control</v>
      </c>
      <c r="G168" s="4" t="str">
        <f t="shared" si="39"/>
        <v>Remote for Feltron Free Dish DTH/Set Top Box</v>
      </c>
      <c r="H168" s="4" t="str">
        <f t="shared" si="53"/>
        <v>Feltron Free Dish DTH Remote</v>
      </c>
      <c r="I168" s="4" t="str">
        <f t="shared" si="40"/>
        <v>DTH/Set Top Box Remote for Feltron Free Dish DTH/Set Top Box</v>
      </c>
      <c r="J168" s="4" t="str">
        <f t="shared" si="54"/>
        <v>Feltron Free Dish Set Top Box Remote</v>
      </c>
      <c r="K168" s="4" t="s">
        <v>646</v>
      </c>
      <c r="M168" s="4" t="str">
        <f t="shared" si="55"/>
        <v>feltron free dish hd DTH D2H wifi satellite set top box remote control original</v>
      </c>
      <c r="N168" s="4" t="str">
        <f t="shared" si="41"/>
        <v>Compatible Feltron Free Dish DTH/Set Top Box Remotes</v>
      </c>
      <c r="O168" s="1" t="str">
        <f t="shared" si="42"/>
        <v>Get Any Compatible Feltron Free Dish DTH/Set Top Box Remotes Easily at Your Door-steps</v>
      </c>
      <c r="P168" s="1" t="str">
        <f t="shared" si="43"/>
        <v>Upix® Compatible Feltron Free Dish DTH/Set Top Box Remotes</v>
      </c>
      <c r="Q168" s="1" t="str">
        <f t="shared" si="44"/>
        <v>Get Any Upix® Compatible Feltron Free Dish DTH/Set Top Box Remotes Easily at Your Door-steps</v>
      </c>
      <c r="R168" s="1" t="s">
        <v>643</v>
      </c>
      <c r="S168" s="4" t="str">
        <f t="shared" si="45"/>
        <v>Upix® Compatible Feltron Free Dish DTH/Set Top Box Remotes</v>
      </c>
      <c r="T168" s="1" t="s">
        <v>644</v>
      </c>
    </row>
    <row r="169" spans="1:20" x14ac:dyDescent="0.3">
      <c r="A169" s="4">
        <v>168</v>
      </c>
      <c r="B169" s="4" t="s">
        <v>629</v>
      </c>
      <c r="C169" s="4" t="s">
        <v>629</v>
      </c>
      <c r="D169" s="4" t="str">
        <f>C169&amp;""</f>
        <v>USB FM</v>
      </c>
      <c r="E169" s="5" t="str">
        <f t="shared" si="37"/>
        <v>USB FM Remotes</v>
      </c>
      <c r="F169" s="4" t="str">
        <f t="shared" si="38"/>
        <v>USB FM Remote Control</v>
      </c>
      <c r="G169" s="4" t="str">
        <f t="shared" si="39"/>
        <v>Remote for USB FM</v>
      </c>
      <c r="H169" s="4" t="s">
        <v>1356</v>
      </c>
      <c r="I169" s="4" t="s">
        <v>1357</v>
      </c>
      <c r="J169" s="4" t="s">
        <v>1358</v>
      </c>
      <c r="K169" s="4" t="s">
        <v>647</v>
      </c>
      <c r="M169" s="4" t="s">
        <v>630</v>
      </c>
      <c r="N169" s="4" t="str">
        <f t="shared" si="41"/>
        <v>Compatible USB FM Remotes</v>
      </c>
      <c r="O169" s="1" t="str">
        <f t="shared" si="42"/>
        <v>Get Any Compatible USB FM Remotes Easily at Your Door-steps</v>
      </c>
      <c r="P169" s="1" t="str">
        <f t="shared" si="43"/>
        <v>Upix® Compatible USB FM Remotes</v>
      </c>
      <c r="Q169" s="1" t="str">
        <f t="shared" si="44"/>
        <v>Get Any Upix® Compatible USB FM Remotes Easily at Your Door-steps</v>
      </c>
      <c r="R169" s="1" t="s">
        <v>643</v>
      </c>
      <c r="S169" s="4" t="str">
        <f t="shared" si="45"/>
        <v>Upix® Compatible USB FM Remotes</v>
      </c>
      <c r="T169" s="1" t="s">
        <v>644</v>
      </c>
    </row>
    <row r="170" spans="1:20" x14ac:dyDescent="0.3">
      <c r="A170" s="4">
        <v>169</v>
      </c>
      <c r="B170" s="4" t="s">
        <v>634</v>
      </c>
      <c r="C170" s="4" t="s">
        <v>41</v>
      </c>
      <c r="D170" s="4" t="str">
        <f t="shared" ref="D170:D204" si="56">C170&amp;" "&amp;B170</f>
        <v>Sony Projector</v>
      </c>
      <c r="E170" s="5" t="str">
        <f t="shared" si="37"/>
        <v>Sony Projector Remotes</v>
      </c>
      <c r="F170" s="4" t="str">
        <f t="shared" si="38"/>
        <v>Sony Projector Remote Control</v>
      </c>
      <c r="G170" s="4" t="str">
        <f t="shared" si="39"/>
        <v>Remote for Sony Projector</v>
      </c>
      <c r="H170" s="4" t="str">
        <f t="shared" ref="H170:H172" si="57">D170&amp;" Remote App"</f>
        <v>Sony Projector Remote App</v>
      </c>
      <c r="I170" s="4" t="str">
        <f t="shared" si="40"/>
        <v>Projector Remote for Sony Projector</v>
      </c>
      <c r="J170" s="4" t="str">
        <f t="shared" si="46"/>
        <v>Sony Projector Remote Control Not Working</v>
      </c>
      <c r="K170" s="4" t="s">
        <v>646</v>
      </c>
      <c r="M170" s="4" t="s">
        <v>636</v>
      </c>
      <c r="N170" s="4" t="str">
        <f t="shared" si="41"/>
        <v>Compatible Sony Projector Remotes</v>
      </c>
      <c r="O170" s="1" t="str">
        <f t="shared" si="42"/>
        <v>Get Any Compatible Sony Projector Remotes Easily at Your Door-steps</v>
      </c>
      <c r="P170" s="1" t="str">
        <f t="shared" si="43"/>
        <v>Upix® Compatible Sony Projector Remotes</v>
      </c>
      <c r="Q170" s="1" t="str">
        <f t="shared" si="44"/>
        <v>Get Any Upix® Compatible Sony Projector Remotes Easily at Your Door-steps</v>
      </c>
      <c r="R170" s="1" t="s">
        <v>643</v>
      </c>
      <c r="S170" s="4" t="str">
        <f t="shared" si="45"/>
        <v>Upix® Compatible Sony Projector Remotes</v>
      </c>
      <c r="T170" s="1" t="s">
        <v>644</v>
      </c>
    </row>
    <row r="171" spans="1:20" x14ac:dyDescent="0.3">
      <c r="A171" s="4">
        <v>170</v>
      </c>
      <c r="B171" s="4" t="s">
        <v>634</v>
      </c>
      <c r="C171" s="4" t="s">
        <v>635</v>
      </c>
      <c r="D171" s="4" t="str">
        <f t="shared" si="56"/>
        <v>Epson Projector</v>
      </c>
      <c r="E171" s="5" t="str">
        <f t="shared" si="37"/>
        <v>Epson Projector Remotes</v>
      </c>
      <c r="F171" s="4" t="str">
        <f t="shared" si="38"/>
        <v>Epson Projector Remote Control</v>
      </c>
      <c r="G171" s="4" t="str">
        <f t="shared" si="39"/>
        <v>Remote for Epson Projector</v>
      </c>
      <c r="H171" s="4" t="str">
        <f t="shared" si="57"/>
        <v>Epson Projector Remote App</v>
      </c>
      <c r="I171" s="4" t="str">
        <f t="shared" si="40"/>
        <v>Projector Remote for Epson Projector</v>
      </c>
      <c r="J171" s="4" t="str">
        <f t="shared" si="46"/>
        <v>Epson Projector Remote Control Not Working</v>
      </c>
      <c r="K171" s="4" t="s">
        <v>646</v>
      </c>
      <c r="M171" s="4" t="s">
        <v>637</v>
      </c>
      <c r="N171" s="4" t="str">
        <f t="shared" si="41"/>
        <v>Compatible Epson Projector Remotes</v>
      </c>
      <c r="O171" s="1" t="str">
        <f t="shared" si="42"/>
        <v>Get Any Compatible Epson Projector Remotes Easily at Your Door-steps</v>
      </c>
      <c r="P171" s="1" t="str">
        <f t="shared" si="43"/>
        <v>Upix® Compatible Epson Projector Remotes</v>
      </c>
      <c r="Q171" s="1" t="str">
        <f t="shared" si="44"/>
        <v>Get Any Upix® Compatible Epson Projector Remotes Easily at Your Door-steps</v>
      </c>
      <c r="R171" s="1" t="s">
        <v>643</v>
      </c>
      <c r="S171" s="4" t="str">
        <f t="shared" si="45"/>
        <v>Upix® Compatible Epson Projector Remotes</v>
      </c>
      <c r="T171" s="1" t="s">
        <v>644</v>
      </c>
    </row>
    <row r="172" spans="1:20" x14ac:dyDescent="0.3">
      <c r="A172" s="4">
        <v>171</v>
      </c>
      <c r="B172" s="4" t="s">
        <v>634</v>
      </c>
      <c r="C172" s="4" t="s">
        <v>570</v>
      </c>
      <c r="D172" s="4" t="str">
        <f t="shared" si="56"/>
        <v>Sanyo Projector</v>
      </c>
      <c r="E172" s="5" t="str">
        <f t="shared" si="37"/>
        <v>Sanyo Projector Remotes</v>
      </c>
      <c r="F172" s="4" t="str">
        <f t="shared" si="38"/>
        <v>Sanyo Projector Remote Control</v>
      </c>
      <c r="G172" s="4" t="str">
        <f t="shared" si="39"/>
        <v>Remote for Sanyo Projector</v>
      </c>
      <c r="H172" s="4" t="str">
        <f t="shared" si="57"/>
        <v>Sanyo Projector Remote App</v>
      </c>
      <c r="I172" s="4" t="str">
        <f t="shared" si="40"/>
        <v>Projector Remote for Sanyo Projector</v>
      </c>
      <c r="J172" s="4" t="str">
        <f t="shared" si="46"/>
        <v>Sanyo Projector Remote Control Not Working</v>
      </c>
      <c r="K172" s="4" t="s">
        <v>646</v>
      </c>
      <c r="M172" s="4" t="s">
        <v>639</v>
      </c>
      <c r="N172" s="4" t="str">
        <f t="shared" si="41"/>
        <v>Compatible Sanyo Projector Remotes</v>
      </c>
      <c r="O172" s="1" t="str">
        <f t="shared" si="42"/>
        <v>Get Any Compatible Sanyo Projector Remotes Easily at Your Door-steps</v>
      </c>
      <c r="P172" s="1" t="str">
        <f t="shared" si="43"/>
        <v>Upix® Compatible Sanyo Projector Remotes</v>
      </c>
      <c r="Q172" s="1" t="str">
        <f t="shared" si="44"/>
        <v>Get Any Upix® Compatible Sanyo Projector Remotes Easily at Your Door-steps</v>
      </c>
      <c r="R172" s="1" t="s">
        <v>643</v>
      </c>
      <c r="S172" s="4" t="str">
        <f t="shared" si="45"/>
        <v>Upix® Compatible Sanyo Projector Remotes</v>
      </c>
      <c r="T172" s="1" t="s">
        <v>644</v>
      </c>
    </row>
    <row r="173" spans="1:20" x14ac:dyDescent="0.3">
      <c r="A173" s="4">
        <v>172</v>
      </c>
      <c r="B173" s="4" t="s">
        <v>419</v>
      </c>
      <c r="C173" s="4" t="s">
        <v>49</v>
      </c>
      <c r="D173" s="4" t="str">
        <f t="shared" si="56"/>
        <v>Mitashi LCD/LED TV</v>
      </c>
      <c r="E173" s="5" t="str">
        <f t="shared" si="37"/>
        <v>Mitashi LCD/LED TV Remotes</v>
      </c>
      <c r="F173" s="4" t="str">
        <f t="shared" si="38"/>
        <v>Mitashi LCD/LED TV Remote Control</v>
      </c>
      <c r="G173" s="4" t="str">
        <f t="shared" si="39"/>
        <v>Remote for Mitashi LCD/LED TV</v>
      </c>
      <c r="H173" s="4" t="str">
        <f>C173&amp;" LCD Remote"</f>
        <v>Mitashi LCD Remote</v>
      </c>
      <c r="I173" s="4" t="str">
        <f t="shared" si="40"/>
        <v>LCD/LED TV Remote for Mitashi LCD/LED TV</v>
      </c>
      <c r="J173" s="4" t="str">
        <f>C173&amp;" LED Remote"</f>
        <v>Mitashi LED Remote</v>
      </c>
      <c r="K173" s="4" t="s">
        <v>646</v>
      </c>
      <c r="M173" s="4" t="s">
        <v>1215</v>
      </c>
      <c r="N173" s="4" t="str">
        <f t="shared" si="41"/>
        <v>Compatible Mitashi LCD/LED TV Remotes</v>
      </c>
      <c r="O173" s="1" t="str">
        <f t="shared" si="42"/>
        <v>Get Any Compatible Mitashi LCD/LED TV Remotes Easily at Your Door-steps</v>
      </c>
      <c r="P173" s="1" t="str">
        <f t="shared" si="43"/>
        <v>Upix® Compatible Mitashi LCD/LED TV Remotes</v>
      </c>
      <c r="Q173" s="1" t="str">
        <f t="shared" si="44"/>
        <v>Get Any Upix® Compatible Mitashi LCD/LED TV Remotes Easily at Your Door-steps</v>
      </c>
      <c r="R173" s="1" t="s">
        <v>643</v>
      </c>
      <c r="S173" s="4" t="str">
        <f t="shared" si="45"/>
        <v>Upix® Compatible Mitashi LCD/LED TV Remotes</v>
      </c>
      <c r="T173" s="1" t="s">
        <v>644</v>
      </c>
    </row>
    <row r="174" spans="1:20" x14ac:dyDescent="0.3">
      <c r="A174" s="4">
        <v>173</v>
      </c>
      <c r="B174" s="4" t="s">
        <v>1344</v>
      </c>
      <c r="C174" s="4" t="s">
        <v>648</v>
      </c>
      <c r="D174" s="4" t="str">
        <f t="shared" si="56"/>
        <v>Blaupunkt Smart TV LCD/LED</v>
      </c>
      <c r="E174" s="5" t="str">
        <f t="shared" si="37"/>
        <v>Blaupunkt Smart TV LCD/LED Remotes</v>
      </c>
      <c r="F174" s="4" t="str">
        <f t="shared" si="38"/>
        <v>Blaupunkt Smart TV LCD/LED Remote Control</v>
      </c>
      <c r="G174" s="4" t="str">
        <f t="shared" si="39"/>
        <v>Remote for Blaupunkt Smart TV LCD/LED</v>
      </c>
      <c r="H174" s="4" t="str">
        <f t="shared" ref="H174:H175" si="58">C174&amp;" Smart TV Remote"</f>
        <v>Blaupunkt Smart TV Remote</v>
      </c>
      <c r="I174" s="4" t="str">
        <f t="shared" si="40"/>
        <v>Smart TV LCD/LED Remote for Blaupunkt Smart TV LCD/LED</v>
      </c>
      <c r="J174" s="4" t="str">
        <f t="shared" ref="J174:J175" si="59">C174&amp;" Smart Remote"</f>
        <v>Blaupunkt Smart Remote</v>
      </c>
      <c r="K174" s="4" t="s">
        <v>646</v>
      </c>
      <c r="M174" s="4" t="s">
        <v>1216</v>
      </c>
      <c r="N174" s="4" t="str">
        <f t="shared" si="41"/>
        <v>Compatible Blaupunkt Smart TV LCD/LED Remotes</v>
      </c>
      <c r="O174" s="1" t="str">
        <f t="shared" si="42"/>
        <v>Get Any Compatible Blaupunkt Smart TV LCD/LED Remotes Easily at Your Door-steps</v>
      </c>
      <c r="P174" s="1" t="str">
        <f t="shared" si="43"/>
        <v>Upix® Compatible Blaupunkt Smart TV LCD/LED Remotes</v>
      </c>
      <c r="Q174" s="1" t="str">
        <f t="shared" si="44"/>
        <v>Get Any Upix® Compatible Blaupunkt Smart TV LCD/LED Remotes Easily at Your Door-steps</v>
      </c>
      <c r="R174" s="1" t="s">
        <v>643</v>
      </c>
      <c r="S174" s="4" t="str">
        <f t="shared" ref="S174" si="60">"Upix® "&amp;N174</f>
        <v>Upix® Compatible Blaupunkt Smart TV LCD/LED Remotes</v>
      </c>
      <c r="T174" s="1" t="s">
        <v>644</v>
      </c>
    </row>
    <row r="175" spans="1:20" x14ac:dyDescent="0.3">
      <c r="A175" s="4">
        <v>174</v>
      </c>
      <c r="B175" s="4" t="s">
        <v>1344</v>
      </c>
      <c r="C175" s="4" t="s">
        <v>651</v>
      </c>
      <c r="D175" s="4" t="str">
        <f t="shared" si="56"/>
        <v>OnePlus Smart TV LCD/LED</v>
      </c>
      <c r="E175" s="5" t="str">
        <f t="shared" si="37"/>
        <v>OnePlus Smart TV LCD/LED Remotes</v>
      </c>
      <c r="F175" s="4" t="str">
        <f t="shared" si="38"/>
        <v>OnePlus Smart TV LCD/LED Remote Control</v>
      </c>
      <c r="G175" s="4" t="str">
        <f t="shared" si="39"/>
        <v>Remote for OnePlus Smart TV LCD/LED</v>
      </c>
      <c r="H175" s="4" t="str">
        <f t="shared" si="58"/>
        <v>OnePlus Smart TV Remote</v>
      </c>
      <c r="I175" s="4" t="str">
        <f t="shared" si="40"/>
        <v>Smart TV LCD/LED Remote for OnePlus Smart TV LCD/LED</v>
      </c>
      <c r="J175" s="4" t="str">
        <f t="shared" si="59"/>
        <v>OnePlus Smart Remote</v>
      </c>
      <c r="K175" s="4" t="s">
        <v>646</v>
      </c>
      <c r="M175" s="4" t="s">
        <v>1217</v>
      </c>
      <c r="N175" s="4" t="str">
        <f t="shared" si="41"/>
        <v>Compatible OnePlus Smart TV LCD/LED Remotes</v>
      </c>
      <c r="O175" s="1" t="str">
        <f t="shared" si="42"/>
        <v>Get Any Compatible OnePlus Smart TV LCD/LED Remotes Easily at Your Door-steps</v>
      </c>
      <c r="P175" s="1" t="str">
        <f t="shared" si="43"/>
        <v>Upix® Compatible OnePlus Smart TV LCD/LED Remotes</v>
      </c>
      <c r="Q175" s="1" t="str">
        <f t="shared" si="44"/>
        <v>Get Any Upix® Compatible OnePlus Smart TV LCD/LED Remotes Easily at Your Door-steps</v>
      </c>
      <c r="R175" s="1" t="s">
        <v>643</v>
      </c>
      <c r="S175" s="4" t="str">
        <f t="shared" ref="S175" si="61">"Upix® "&amp;N175</f>
        <v>Upix® Compatible OnePlus Smart TV LCD/LED Remotes</v>
      </c>
      <c r="T175" s="1" t="s">
        <v>644</v>
      </c>
    </row>
    <row r="176" spans="1:20" x14ac:dyDescent="0.3">
      <c r="A176" s="4">
        <v>175</v>
      </c>
      <c r="B176" s="4" t="s">
        <v>1343</v>
      </c>
      <c r="C176" s="4" t="s">
        <v>30</v>
      </c>
      <c r="D176" s="4" t="str">
        <f t="shared" si="56"/>
        <v>Panasonic DVD/Home Theatre System</v>
      </c>
      <c r="E176" s="5" t="str">
        <f t="shared" si="37"/>
        <v>Panasonic DVD/Home Theatre System Remotes</v>
      </c>
      <c r="F176" s="4" t="str">
        <f t="shared" si="38"/>
        <v>Panasonic DVD/Home Theatre System Remote Control</v>
      </c>
      <c r="G176" s="4" t="str">
        <f t="shared" si="39"/>
        <v>Remote for Panasonic DVD/Home Theatre System</v>
      </c>
      <c r="H176" s="4" t="str">
        <f>C176&amp;" Home Theatre System Remote"</f>
        <v>Panasonic Home Theatre System Remote</v>
      </c>
      <c r="I176" s="4" t="str">
        <f t="shared" si="40"/>
        <v>DVD/Home Theatre System Remote for Panasonic DVD/Home Theatre System</v>
      </c>
      <c r="J176" s="4" t="str">
        <f>C176&amp;" DVD Remote"</f>
        <v>Panasonic DVD Remote</v>
      </c>
      <c r="K176" s="4" t="s">
        <v>646</v>
      </c>
      <c r="M176" s="4" t="str">
        <f>LOWER(C176) &amp;" dvd audio home theatre sound system sound bar remote control original"</f>
        <v>panasonic dvd audio home theatre sound system sound bar remote control original</v>
      </c>
      <c r="N176" s="4" t="str">
        <f t="shared" si="41"/>
        <v>Compatible Panasonic DVD/Home Theatre System Remotes</v>
      </c>
      <c r="O176" s="1" t="str">
        <f t="shared" si="42"/>
        <v>Get Any Compatible Panasonic DVD/Home Theatre System Remotes Easily at Your Door-steps</v>
      </c>
      <c r="P176" s="1" t="str">
        <f t="shared" si="43"/>
        <v>Upix® Compatible Panasonic DVD/Home Theatre System Remotes</v>
      </c>
      <c r="Q176" s="1" t="str">
        <f t="shared" si="44"/>
        <v>Get Any Upix® Compatible Panasonic DVD/Home Theatre System Remotes Easily at Your Door-steps</v>
      </c>
      <c r="R176" s="1" t="s">
        <v>643</v>
      </c>
      <c r="S176" s="4" t="str">
        <f t="shared" ref="S176:S188" si="62">"Upix® "&amp;N176</f>
        <v>Upix® Compatible Panasonic DVD/Home Theatre System Remotes</v>
      </c>
      <c r="T176" s="1" t="s">
        <v>644</v>
      </c>
    </row>
    <row r="177" spans="1:20" x14ac:dyDescent="0.3">
      <c r="A177" s="4">
        <v>176</v>
      </c>
      <c r="B177" s="4" t="s">
        <v>3</v>
      </c>
      <c r="C177" s="4" t="s">
        <v>570</v>
      </c>
      <c r="D177" s="4" t="str">
        <f t="shared" si="56"/>
        <v>Sanyo AC</v>
      </c>
      <c r="E177" s="5" t="str">
        <f t="shared" si="37"/>
        <v>Sanyo AC Remotes</v>
      </c>
      <c r="F177" s="4" t="str">
        <f t="shared" si="38"/>
        <v>Sanyo AC Remote Control</v>
      </c>
      <c r="G177" s="4" t="str">
        <f t="shared" si="39"/>
        <v>Remote for Sanyo AC</v>
      </c>
      <c r="H177" s="4" t="str">
        <f>C177&amp;" Air Conditioner Remote"</f>
        <v>Sanyo Air Conditioner Remote</v>
      </c>
      <c r="I177" s="4" t="str">
        <f t="shared" si="40"/>
        <v>AC Remote for Sanyo AC</v>
      </c>
      <c r="J177" s="4" t="str">
        <f t="shared" si="46"/>
        <v>Sanyo AC Remote Control Not Working</v>
      </c>
      <c r="K177" s="4" t="s">
        <v>646</v>
      </c>
      <c r="M177" s="4" t="s">
        <v>650</v>
      </c>
      <c r="N177" s="4" t="str">
        <f t="shared" si="41"/>
        <v>Compatible Sanyo AC Remotes</v>
      </c>
      <c r="O177" s="1" t="str">
        <f t="shared" si="42"/>
        <v>Get Any Compatible Sanyo AC Remotes Easily at Your Door-steps</v>
      </c>
      <c r="P177" s="1" t="str">
        <f t="shared" si="43"/>
        <v>Upix® Compatible Sanyo AC Remotes</v>
      </c>
      <c r="Q177" s="1" t="str">
        <f t="shared" si="44"/>
        <v>Get Any Upix® Compatible Sanyo AC Remotes Easily at Your Door-steps</v>
      </c>
      <c r="R177" s="1" t="s">
        <v>643</v>
      </c>
      <c r="S177" s="4" t="str">
        <f t="shared" si="62"/>
        <v>Upix® Compatible Sanyo AC Remotes</v>
      </c>
      <c r="T177" s="1" t="s">
        <v>644</v>
      </c>
    </row>
    <row r="178" spans="1:20" x14ac:dyDescent="0.3">
      <c r="A178" s="4">
        <v>177</v>
      </c>
      <c r="B178" s="4" t="s">
        <v>1344</v>
      </c>
      <c r="C178" s="4" t="s">
        <v>1179</v>
      </c>
      <c r="D178" s="4" t="str">
        <f t="shared" si="56"/>
        <v>Realme Smart TV LCD/LED</v>
      </c>
      <c r="E178" s="5" t="str">
        <f t="shared" si="37"/>
        <v>Realme Smart TV LCD/LED Remotes</v>
      </c>
      <c r="F178" s="4" t="str">
        <f t="shared" si="38"/>
        <v>Realme Smart TV LCD/LED Remote Control</v>
      </c>
      <c r="G178" s="4" t="str">
        <f t="shared" si="39"/>
        <v>Remote for Realme Smart TV LCD/LED</v>
      </c>
      <c r="H178" s="4" t="str">
        <f t="shared" ref="H178:H196" si="63">C178&amp;" Smart TV Remote"</f>
        <v>Realme Smart TV Remote</v>
      </c>
      <c r="I178" s="4" t="str">
        <f t="shared" si="40"/>
        <v>Smart TV LCD/LED Remote for Realme Smart TV LCD/LED</v>
      </c>
      <c r="J178" s="4" t="str">
        <f t="shared" ref="J178:J196" si="64">C178&amp;" Smart Remote"</f>
        <v>Realme Smart Remote</v>
      </c>
      <c r="K178" s="4" t="s">
        <v>646</v>
      </c>
      <c r="M178" s="4" t="s">
        <v>1218</v>
      </c>
      <c r="N178" s="4" t="str">
        <f t="shared" si="41"/>
        <v>Compatible Realme Smart TV LCD/LED Remotes</v>
      </c>
      <c r="O178" s="1" t="str">
        <f t="shared" si="42"/>
        <v>Get Any Compatible Realme Smart TV LCD/LED Remotes Easily at Your Door-steps</v>
      </c>
      <c r="P178" s="1" t="str">
        <f t="shared" si="43"/>
        <v>Upix® Compatible Realme Smart TV LCD/LED Remotes</v>
      </c>
      <c r="Q178" s="1" t="str">
        <f t="shared" si="44"/>
        <v>Get Any Upix® Compatible Realme Smart TV LCD/LED Remotes Easily at Your Door-steps</v>
      </c>
      <c r="R178" s="1" t="s">
        <v>643</v>
      </c>
      <c r="S178" s="4" t="str">
        <f t="shared" si="62"/>
        <v>Upix® Compatible Realme Smart TV LCD/LED Remotes</v>
      </c>
      <c r="T178" s="1" t="s">
        <v>644</v>
      </c>
    </row>
    <row r="179" spans="1:20" x14ac:dyDescent="0.3">
      <c r="A179" s="4">
        <v>178</v>
      </c>
      <c r="B179" s="4" t="s">
        <v>1344</v>
      </c>
      <c r="C179" s="4" t="s">
        <v>41</v>
      </c>
      <c r="D179" s="4" t="str">
        <f t="shared" si="56"/>
        <v>Sony Smart TV LCD/LED</v>
      </c>
      <c r="E179" s="5" t="str">
        <f t="shared" si="37"/>
        <v>Sony Smart TV LCD/LED Remotes</v>
      </c>
      <c r="F179" s="4" t="str">
        <f t="shared" si="38"/>
        <v>Sony Smart TV LCD/LED Remote Control</v>
      </c>
      <c r="G179" s="4" t="str">
        <f t="shared" si="39"/>
        <v>Remote for Sony Smart TV LCD/LED</v>
      </c>
      <c r="H179" s="4" t="str">
        <f t="shared" si="63"/>
        <v>Sony Smart TV Remote</v>
      </c>
      <c r="I179" s="4" t="str">
        <f t="shared" si="40"/>
        <v>Smart TV LCD/LED Remote for Sony Smart TV LCD/LED</v>
      </c>
      <c r="J179" s="4" t="str">
        <f t="shared" si="64"/>
        <v>Sony Smart Remote</v>
      </c>
      <c r="N179" s="4" t="str">
        <f t="shared" si="41"/>
        <v>Compatible Sony Smart TV LCD/LED Remotes</v>
      </c>
      <c r="O179" s="1" t="str">
        <f t="shared" si="42"/>
        <v>Get Any Compatible Sony Smart TV LCD/LED Remotes Easily at Your Door-steps</v>
      </c>
      <c r="P179" s="1" t="str">
        <f t="shared" si="43"/>
        <v>Upix® Compatible Sony Smart TV LCD/LED Remotes</v>
      </c>
      <c r="Q179" s="1" t="str">
        <f t="shared" si="44"/>
        <v>Get Any Upix® Compatible Sony Smart TV LCD/LED Remotes Easily at Your Door-steps</v>
      </c>
      <c r="S179" s="4" t="str">
        <f t="shared" si="62"/>
        <v>Upix® Compatible Sony Smart TV LCD/LED Remotes</v>
      </c>
    </row>
    <row r="180" spans="1:20" x14ac:dyDescent="0.3">
      <c r="A180" s="4">
        <v>179</v>
      </c>
      <c r="B180" s="4" t="s">
        <v>1344</v>
      </c>
      <c r="C180" s="4" t="s">
        <v>31</v>
      </c>
      <c r="D180" s="4" t="str">
        <f t="shared" si="56"/>
        <v>Samsung Smart TV LCD/LED</v>
      </c>
      <c r="E180" s="5" t="str">
        <f t="shared" si="37"/>
        <v>Samsung Smart TV LCD/LED Remotes</v>
      </c>
      <c r="F180" s="4" t="str">
        <f t="shared" si="38"/>
        <v>Samsung Smart TV LCD/LED Remote Control</v>
      </c>
      <c r="G180" s="4" t="str">
        <f t="shared" si="39"/>
        <v>Remote for Samsung Smart TV LCD/LED</v>
      </c>
      <c r="H180" s="4" t="str">
        <f t="shared" si="63"/>
        <v>Samsung Smart TV Remote</v>
      </c>
      <c r="I180" s="4" t="str">
        <f t="shared" si="40"/>
        <v>Smart TV LCD/LED Remote for Samsung Smart TV LCD/LED</v>
      </c>
      <c r="J180" s="4" t="str">
        <f t="shared" si="64"/>
        <v>Samsung Smart Remote</v>
      </c>
      <c r="N180" s="4" t="str">
        <f t="shared" si="41"/>
        <v>Compatible Samsung Smart TV LCD/LED Remotes</v>
      </c>
      <c r="O180" s="1" t="str">
        <f t="shared" si="42"/>
        <v>Get Any Compatible Samsung Smart TV LCD/LED Remotes Easily at Your Door-steps</v>
      </c>
      <c r="P180" s="1" t="str">
        <f t="shared" si="43"/>
        <v>Upix® Compatible Samsung Smart TV LCD/LED Remotes</v>
      </c>
      <c r="Q180" s="1" t="str">
        <f t="shared" si="44"/>
        <v>Get Any Upix® Compatible Samsung Smart TV LCD/LED Remotes Easily at Your Door-steps</v>
      </c>
      <c r="S180" s="4" t="str">
        <f t="shared" si="62"/>
        <v>Upix® Compatible Samsung Smart TV LCD/LED Remotes</v>
      </c>
    </row>
    <row r="181" spans="1:20" x14ac:dyDescent="0.3">
      <c r="A181" s="4">
        <v>180</v>
      </c>
      <c r="B181" s="4" t="s">
        <v>1344</v>
      </c>
      <c r="C181" s="4" t="s">
        <v>30</v>
      </c>
      <c r="D181" s="4" t="str">
        <f t="shared" si="56"/>
        <v>Panasonic Smart TV LCD/LED</v>
      </c>
      <c r="E181" s="5" t="str">
        <f t="shared" si="37"/>
        <v>Panasonic Smart TV LCD/LED Remotes</v>
      </c>
      <c r="F181" s="4" t="str">
        <f t="shared" si="38"/>
        <v>Panasonic Smart TV LCD/LED Remote Control</v>
      </c>
      <c r="G181" s="4" t="str">
        <f t="shared" si="39"/>
        <v>Remote for Panasonic Smart TV LCD/LED</v>
      </c>
      <c r="H181" s="4" t="str">
        <f t="shared" si="63"/>
        <v>Panasonic Smart TV Remote</v>
      </c>
      <c r="I181" s="4" t="str">
        <f t="shared" si="40"/>
        <v>Smart TV LCD/LED Remote for Panasonic Smart TV LCD/LED</v>
      </c>
      <c r="J181" s="4" t="str">
        <f t="shared" si="64"/>
        <v>Panasonic Smart Remote</v>
      </c>
      <c r="N181" s="4" t="str">
        <f t="shared" si="41"/>
        <v>Compatible Panasonic Smart TV LCD/LED Remotes</v>
      </c>
      <c r="O181" s="1" t="str">
        <f t="shared" si="42"/>
        <v>Get Any Compatible Panasonic Smart TV LCD/LED Remotes Easily at Your Door-steps</v>
      </c>
      <c r="P181" s="1" t="str">
        <f t="shared" si="43"/>
        <v>Upix® Compatible Panasonic Smart TV LCD/LED Remotes</v>
      </c>
      <c r="Q181" s="1" t="str">
        <f t="shared" si="44"/>
        <v>Get Any Upix® Compatible Panasonic Smart TV LCD/LED Remotes Easily at Your Door-steps</v>
      </c>
      <c r="S181" s="4" t="str">
        <f t="shared" si="62"/>
        <v>Upix® Compatible Panasonic Smart TV LCD/LED Remotes</v>
      </c>
    </row>
    <row r="182" spans="1:20" x14ac:dyDescent="0.3">
      <c r="A182" s="4">
        <v>181</v>
      </c>
      <c r="B182" s="4" t="s">
        <v>1344</v>
      </c>
      <c r="C182" s="4" t="s">
        <v>16</v>
      </c>
      <c r="D182" s="4" t="str">
        <f t="shared" si="56"/>
        <v>Sansui Smart TV LCD/LED</v>
      </c>
      <c r="E182" s="5" t="str">
        <f t="shared" si="37"/>
        <v>Sansui Smart TV LCD/LED Remotes</v>
      </c>
      <c r="F182" s="4" t="str">
        <f t="shared" si="38"/>
        <v>Sansui Smart TV LCD/LED Remote Control</v>
      </c>
      <c r="G182" s="4" t="str">
        <f t="shared" si="39"/>
        <v>Remote for Sansui Smart TV LCD/LED</v>
      </c>
      <c r="H182" s="4" t="str">
        <f t="shared" si="63"/>
        <v>Sansui Smart TV Remote</v>
      </c>
      <c r="I182" s="4" t="str">
        <f t="shared" si="40"/>
        <v>Smart TV LCD/LED Remote for Sansui Smart TV LCD/LED</v>
      </c>
      <c r="J182" s="4" t="str">
        <f t="shared" si="64"/>
        <v>Sansui Smart Remote</v>
      </c>
      <c r="N182" s="4" t="str">
        <f t="shared" si="41"/>
        <v>Compatible Sansui Smart TV LCD/LED Remotes</v>
      </c>
      <c r="O182" s="1" t="str">
        <f t="shared" si="42"/>
        <v>Get Any Compatible Sansui Smart TV LCD/LED Remotes Easily at Your Door-steps</v>
      </c>
      <c r="P182" s="1" t="str">
        <f t="shared" si="43"/>
        <v>Upix® Compatible Sansui Smart TV LCD/LED Remotes</v>
      </c>
      <c r="Q182" s="1" t="str">
        <f t="shared" si="44"/>
        <v>Get Any Upix® Compatible Sansui Smart TV LCD/LED Remotes Easily at Your Door-steps</v>
      </c>
      <c r="S182" s="4" t="str">
        <f t="shared" si="62"/>
        <v>Upix® Compatible Sansui Smart TV LCD/LED Remotes</v>
      </c>
    </row>
    <row r="183" spans="1:20" x14ac:dyDescent="0.3">
      <c r="A183" s="4">
        <v>182</v>
      </c>
      <c r="B183" s="4" t="s">
        <v>1344</v>
      </c>
      <c r="C183" s="4" t="s">
        <v>25</v>
      </c>
      <c r="D183" s="4" t="str">
        <f t="shared" si="56"/>
        <v>LG Smart TV LCD/LED</v>
      </c>
      <c r="E183" s="5" t="str">
        <f t="shared" si="37"/>
        <v>LG Smart TV LCD/LED Remotes</v>
      </c>
      <c r="F183" s="4" t="str">
        <f t="shared" si="38"/>
        <v>LG Smart TV LCD/LED Remote Control</v>
      </c>
      <c r="G183" s="4" t="str">
        <f t="shared" si="39"/>
        <v>Remote for LG Smart TV LCD/LED</v>
      </c>
      <c r="H183" s="4" t="str">
        <f t="shared" si="63"/>
        <v>LG Smart TV Remote</v>
      </c>
      <c r="I183" s="4" t="str">
        <f t="shared" si="40"/>
        <v>Smart TV LCD/LED Remote for LG Smart TV LCD/LED</v>
      </c>
      <c r="J183" s="4" t="str">
        <f t="shared" si="64"/>
        <v>LG Smart Remote</v>
      </c>
      <c r="N183" s="4" t="str">
        <f t="shared" si="41"/>
        <v>Compatible LG Smart TV LCD/LED Remotes</v>
      </c>
      <c r="O183" s="1" t="str">
        <f t="shared" si="42"/>
        <v>Get Any Compatible LG Smart TV LCD/LED Remotes Easily at Your Door-steps</v>
      </c>
      <c r="P183" s="1" t="str">
        <f t="shared" si="43"/>
        <v>Upix® Compatible LG Smart TV LCD/LED Remotes</v>
      </c>
      <c r="Q183" s="1" t="str">
        <f t="shared" si="44"/>
        <v>Get Any Upix® Compatible LG Smart TV LCD/LED Remotes Easily at Your Door-steps</v>
      </c>
      <c r="S183" s="4" t="str">
        <f t="shared" si="62"/>
        <v>Upix® Compatible LG Smart TV LCD/LED Remotes</v>
      </c>
    </row>
    <row r="184" spans="1:20" x14ac:dyDescent="0.3">
      <c r="A184" s="4">
        <v>183</v>
      </c>
      <c r="B184" s="4" t="s">
        <v>1344</v>
      </c>
      <c r="C184" s="4" t="s">
        <v>43</v>
      </c>
      <c r="D184" s="4" t="str">
        <f t="shared" si="56"/>
        <v>Vu Smart TV LCD/LED</v>
      </c>
      <c r="E184" s="5" t="str">
        <f t="shared" si="37"/>
        <v>Vu Smart TV LCD/LED Remotes</v>
      </c>
      <c r="F184" s="4" t="str">
        <f t="shared" si="38"/>
        <v>Vu Smart TV LCD/LED Remote Control</v>
      </c>
      <c r="G184" s="4" t="str">
        <f t="shared" si="39"/>
        <v>Remote for Vu Smart TV LCD/LED</v>
      </c>
      <c r="H184" s="4" t="str">
        <f t="shared" si="63"/>
        <v>Vu Smart TV Remote</v>
      </c>
      <c r="I184" s="4" t="str">
        <f t="shared" si="40"/>
        <v>Smart TV LCD/LED Remote for Vu Smart TV LCD/LED</v>
      </c>
      <c r="J184" s="4" t="str">
        <f t="shared" si="64"/>
        <v>Vu Smart Remote</v>
      </c>
      <c r="N184" s="4" t="str">
        <f t="shared" si="41"/>
        <v>Compatible Vu Smart TV LCD/LED Remotes</v>
      </c>
      <c r="O184" s="1" t="str">
        <f t="shared" si="42"/>
        <v>Get Any Compatible Vu Smart TV LCD/LED Remotes Easily at Your Door-steps</v>
      </c>
      <c r="P184" s="1" t="str">
        <f t="shared" si="43"/>
        <v>Upix® Compatible Vu Smart TV LCD/LED Remotes</v>
      </c>
      <c r="Q184" s="1" t="str">
        <f t="shared" si="44"/>
        <v>Get Any Upix® Compatible Vu Smart TV LCD/LED Remotes Easily at Your Door-steps</v>
      </c>
      <c r="S184" s="4" t="str">
        <f t="shared" si="62"/>
        <v>Upix® Compatible Vu Smart TV LCD/LED Remotes</v>
      </c>
    </row>
    <row r="185" spans="1:20" x14ac:dyDescent="0.3">
      <c r="A185" s="4">
        <v>184</v>
      </c>
      <c r="B185" s="4" t="s">
        <v>1344</v>
      </c>
      <c r="C185" s="4" t="s">
        <v>22</v>
      </c>
      <c r="D185" s="4" t="str">
        <f t="shared" si="56"/>
        <v>Haier Smart TV LCD/LED</v>
      </c>
      <c r="E185" s="5" t="str">
        <f t="shared" si="37"/>
        <v>Haier Smart TV LCD/LED Remotes</v>
      </c>
      <c r="F185" s="4" t="str">
        <f t="shared" si="38"/>
        <v>Haier Smart TV LCD/LED Remote Control</v>
      </c>
      <c r="G185" s="4" t="str">
        <f t="shared" si="39"/>
        <v>Remote for Haier Smart TV LCD/LED</v>
      </c>
      <c r="H185" s="4" t="str">
        <f t="shared" si="63"/>
        <v>Haier Smart TV Remote</v>
      </c>
      <c r="I185" s="4" t="str">
        <f t="shared" si="40"/>
        <v>Smart TV LCD/LED Remote for Haier Smart TV LCD/LED</v>
      </c>
      <c r="J185" s="4" t="str">
        <f t="shared" si="64"/>
        <v>Haier Smart Remote</v>
      </c>
      <c r="N185" s="4" t="str">
        <f t="shared" si="41"/>
        <v>Compatible Haier Smart TV LCD/LED Remotes</v>
      </c>
      <c r="O185" s="1" t="str">
        <f t="shared" si="42"/>
        <v>Get Any Compatible Haier Smart TV LCD/LED Remotes Easily at Your Door-steps</v>
      </c>
      <c r="P185" s="1" t="str">
        <f t="shared" si="43"/>
        <v>Upix® Compatible Haier Smart TV LCD/LED Remotes</v>
      </c>
      <c r="Q185" s="1" t="str">
        <f t="shared" si="44"/>
        <v>Get Any Upix® Compatible Haier Smart TV LCD/LED Remotes Easily at Your Door-steps</v>
      </c>
      <c r="S185" s="4" t="str">
        <f t="shared" si="62"/>
        <v>Upix® Compatible Haier Smart TV LCD/LED Remotes</v>
      </c>
    </row>
    <row r="186" spans="1:20" x14ac:dyDescent="0.3">
      <c r="A186" s="4">
        <v>185</v>
      </c>
      <c r="B186" s="4" t="s">
        <v>1344</v>
      </c>
      <c r="C186" s="4" t="s">
        <v>39</v>
      </c>
      <c r="D186" s="4" t="str">
        <f t="shared" si="56"/>
        <v>Intex Smart TV LCD/LED</v>
      </c>
      <c r="E186" s="5" t="str">
        <f t="shared" si="37"/>
        <v>Intex Smart TV LCD/LED Remotes</v>
      </c>
      <c r="F186" s="4" t="str">
        <f t="shared" si="38"/>
        <v>Intex Smart TV LCD/LED Remote Control</v>
      </c>
      <c r="G186" s="4" t="str">
        <f t="shared" si="39"/>
        <v>Remote for Intex Smart TV LCD/LED</v>
      </c>
      <c r="H186" s="4" t="str">
        <f t="shared" si="63"/>
        <v>Intex Smart TV Remote</v>
      </c>
      <c r="I186" s="4" t="str">
        <f t="shared" si="40"/>
        <v>Smart TV LCD/LED Remote for Intex Smart TV LCD/LED</v>
      </c>
      <c r="J186" s="4" t="str">
        <f t="shared" si="64"/>
        <v>Intex Smart Remote</v>
      </c>
      <c r="N186" s="4" t="str">
        <f t="shared" si="41"/>
        <v>Compatible Intex Smart TV LCD/LED Remotes</v>
      </c>
      <c r="O186" s="1" t="str">
        <f t="shared" si="42"/>
        <v>Get Any Compatible Intex Smart TV LCD/LED Remotes Easily at Your Door-steps</v>
      </c>
      <c r="P186" s="1" t="str">
        <f t="shared" si="43"/>
        <v>Upix® Compatible Intex Smart TV LCD/LED Remotes</v>
      </c>
      <c r="Q186" s="1" t="str">
        <f t="shared" si="44"/>
        <v>Get Any Upix® Compatible Intex Smart TV LCD/LED Remotes Easily at Your Door-steps</v>
      </c>
      <c r="S186" s="4" t="str">
        <f t="shared" si="62"/>
        <v>Upix® Compatible Intex Smart TV LCD/LED Remotes</v>
      </c>
    </row>
    <row r="187" spans="1:20" x14ac:dyDescent="0.3">
      <c r="A187" s="4">
        <v>186</v>
      </c>
      <c r="B187" s="4" t="s">
        <v>1344</v>
      </c>
      <c r="C187" s="4" t="s">
        <v>2</v>
      </c>
      <c r="D187" s="4" t="str">
        <f t="shared" si="56"/>
        <v>Llyod Smart TV LCD/LED</v>
      </c>
      <c r="E187" s="5" t="str">
        <f t="shared" si="37"/>
        <v>Llyod Smart TV LCD/LED Remotes</v>
      </c>
      <c r="F187" s="4" t="str">
        <f t="shared" si="38"/>
        <v>Llyod Smart TV LCD/LED Remote Control</v>
      </c>
      <c r="G187" s="4" t="str">
        <f t="shared" si="39"/>
        <v>Remote for Llyod Smart TV LCD/LED</v>
      </c>
      <c r="H187" s="4" t="str">
        <f t="shared" si="63"/>
        <v>Llyod Smart TV Remote</v>
      </c>
      <c r="I187" s="4" t="str">
        <f t="shared" si="40"/>
        <v>Smart TV LCD/LED Remote for Llyod Smart TV LCD/LED</v>
      </c>
      <c r="J187" s="4" t="str">
        <f t="shared" si="64"/>
        <v>Llyod Smart Remote</v>
      </c>
      <c r="N187" s="4" t="str">
        <f t="shared" si="41"/>
        <v>Compatible Llyod Smart TV LCD/LED Remotes</v>
      </c>
      <c r="O187" s="1" t="str">
        <f t="shared" si="42"/>
        <v>Get Any Compatible Llyod Smart TV LCD/LED Remotes Easily at Your Door-steps</v>
      </c>
      <c r="P187" s="1" t="str">
        <f t="shared" si="43"/>
        <v>Upix® Compatible Llyod Smart TV LCD/LED Remotes</v>
      </c>
      <c r="Q187" s="1" t="str">
        <f t="shared" si="44"/>
        <v>Get Any Upix® Compatible Llyod Smart TV LCD/LED Remotes Easily at Your Door-steps</v>
      </c>
      <c r="S187" s="4" t="str">
        <f t="shared" si="62"/>
        <v>Upix® Compatible Llyod Smart TV LCD/LED Remotes</v>
      </c>
    </row>
    <row r="188" spans="1:20" x14ac:dyDescent="0.3">
      <c r="A188" s="4">
        <v>187</v>
      </c>
      <c r="B188" s="4" t="s">
        <v>1344</v>
      </c>
      <c r="C188" s="4" t="s">
        <v>48</v>
      </c>
      <c r="D188" s="4" t="str">
        <f t="shared" si="56"/>
        <v>Micromax Smart TV LCD/LED</v>
      </c>
      <c r="E188" s="5" t="str">
        <f t="shared" si="37"/>
        <v>Micromax Smart TV LCD/LED Remotes</v>
      </c>
      <c r="F188" s="4" t="str">
        <f t="shared" si="38"/>
        <v>Micromax Smart TV LCD/LED Remote Control</v>
      </c>
      <c r="G188" s="4" t="str">
        <f t="shared" si="39"/>
        <v>Remote for Micromax Smart TV LCD/LED</v>
      </c>
      <c r="H188" s="4" t="str">
        <f t="shared" si="63"/>
        <v>Micromax Smart TV Remote</v>
      </c>
      <c r="I188" s="4" t="str">
        <f t="shared" si="40"/>
        <v>Smart TV LCD/LED Remote for Micromax Smart TV LCD/LED</v>
      </c>
      <c r="J188" s="4" t="str">
        <f t="shared" si="64"/>
        <v>Micromax Smart Remote</v>
      </c>
      <c r="N188" s="4" t="str">
        <f t="shared" si="41"/>
        <v>Compatible Micromax Smart TV LCD/LED Remotes</v>
      </c>
      <c r="O188" s="1" t="str">
        <f t="shared" si="42"/>
        <v>Get Any Compatible Micromax Smart TV LCD/LED Remotes Easily at Your Door-steps</v>
      </c>
      <c r="P188" s="1" t="str">
        <f t="shared" si="43"/>
        <v>Upix® Compatible Micromax Smart TV LCD/LED Remotes</v>
      </c>
      <c r="Q188" s="1" t="str">
        <f t="shared" si="44"/>
        <v>Get Any Upix® Compatible Micromax Smart TV LCD/LED Remotes Easily at Your Door-steps</v>
      </c>
      <c r="S188" s="4" t="str">
        <f t="shared" si="62"/>
        <v>Upix® Compatible Micromax Smart TV LCD/LED Remotes</v>
      </c>
    </row>
    <row r="189" spans="1:20" x14ac:dyDescent="0.3">
      <c r="A189" s="4">
        <v>188</v>
      </c>
      <c r="B189" s="4" t="s">
        <v>1344</v>
      </c>
      <c r="C189" s="4" t="s">
        <v>11</v>
      </c>
      <c r="D189" s="4" t="str">
        <f t="shared" si="56"/>
        <v>Onida Smart TV LCD/LED</v>
      </c>
      <c r="E189" s="5" t="str">
        <f t="shared" si="37"/>
        <v>Onida Smart TV LCD/LED Remotes</v>
      </c>
      <c r="F189" s="4" t="str">
        <f t="shared" si="38"/>
        <v>Onida Smart TV LCD/LED Remote Control</v>
      </c>
      <c r="G189" s="4" t="str">
        <f t="shared" si="39"/>
        <v>Remote for Onida Smart TV LCD/LED</v>
      </c>
      <c r="H189" s="4" t="str">
        <f t="shared" si="63"/>
        <v>Onida Smart TV Remote</v>
      </c>
      <c r="I189" s="4" t="str">
        <f t="shared" si="40"/>
        <v>Smart TV LCD/LED Remote for Onida Smart TV LCD/LED</v>
      </c>
      <c r="J189" s="4" t="str">
        <f t="shared" si="64"/>
        <v>Onida Smart Remote</v>
      </c>
      <c r="N189" s="4" t="str">
        <f t="shared" si="41"/>
        <v>Compatible Onida Smart TV LCD/LED Remotes</v>
      </c>
      <c r="O189" s="1" t="str">
        <f t="shared" si="42"/>
        <v>Get Any Compatible Onida Smart TV LCD/LED Remotes Easily at Your Door-steps</v>
      </c>
      <c r="P189" s="1" t="str">
        <f t="shared" si="43"/>
        <v>Upix® Compatible Onida Smart TV LCD/LED Remotes</v>
      </c>
      <c r="Q189" s="1" t="str">
        <f t="shared" si="44"/>
        <v>Get Any Upix® Compatible Onida Smart TV LCD/LED Remotes Easily at Your Door-steps</v>
      </c>
    </row>
    <row r="190" spans="1:20" x14ac:dyDescent="0.3">
      <c r="A190" s="4">
        <v>189</v>
      </c>
      <c r="B190" s="4" t="s">
        <v>1344</v>
      </c>
      <c r="C190" s="4" t="s">
        <v>50</v>
      </c>
      <c r="D190" s="4" t="str">
        <f t="shared" si="56"/>
        <v>Philips Smart TV LCD/LED</v>
      </c>
      <c r="E190" s="5" t="str">
        <f t="shared" si="37"/>
        <v>Philips Smart TV LCD/LED Remotes</v>
      </c>
      <c r="F190" s="4" t="str">
        <f t="shared" si="38"/>
        <v>Philips Smart TV LCD/LED Remote Control</v>
      </c>
      <c r="G190" s="4" t="str">
        <f t="shared" si="39"/>
        <v>Remote for Philips Smart TV LCD/LED</v>
      </c>
      <c r="H190" s="4" t="str">
        <f t="shared" si="63"/>
        <v>Philips Smart TV Remote</v>
      </c>
      <c r="I190" s="4" t="str">
        <f t="shared" si="40"/>
        <v>Smart TV LCD/LED Remote for Philips Smart TV LCD/LED</v>
      </c>
      <c r="J190" s="4" t="str">
        <f t="shared" si="64"/>
        <v>Philips Smart Remote</v>
      </c>
      <c r="N190" s="4" t="str">
        <f t="shared" si="41"/>
        <v>Compatible Philips Smart TV LCD/LED Remotes</v>
      </c>
      <c r="O190" s="1" t="str">
        <f t="shared" si="42"/>
        <v>Get Any Compatible Philips Smart TV LCD/LED Remotes Easily at Your Door-steps</v>
      </c>
      <c r="P190" s="1" t="str">
        <f t="shared" si="43"/>
        <v>Upix® Compatible Philips Smart TV LCD/LED Remotes</v>
      </c>
      <c r="Q190" s="1" t="str">
        <f t="shared" si="44"/>
        <v>Get Any Upix® Compatible Philips Smart TV LCD/LED Remotes Easily at Your Door-steps</v>
      </c>
    </row>
    <row r="191" spans="1:20" x14ac:dyDescent="0.3">
      <c r="A191" s="4">
        <v>190</v>
      </c>
      <c r="B191" s="4" t="s">
        <v>1344</v>
      </c>
      <c r="C191" s="4" t="s">
        <v>33</v>
      </c>
      <c r="D191" s="4" t="str">
        <f t="shared" si="56"/>
        <v>Sharp Smart TV LCD/LED</v>
      </c>
      <c r="E191" s="5" t="str">
        <f t="shared" si="37"/>
        <v>Sharp Smart TV LCD/LED Remotes</v>
      </c>
      <c r="F191" s="4" t="str">
        <f t="shared" si="38"/>
        <v>Sharp Smart TV LCD/LED Remote Control</v>
      </c>
      <c r="G191" s="4" t="str">
        <f t="shared" si="39"/>
        <v>Remote for Sharp Smart TV LCD/LED</v>
      </c>
      <c r="H191" s="4" t="str">
        <f t="shared" si="63"/>
        <v>Sharp Smart TV Remote</v>
      </c>
      <c r="I191" s="4" t="str">
        <f t="shared" si="40"/>
        <v>Smart TV LCD/LED Remote for Sharp Smart TV LCD/LED</v>
      </c>
      <c r="J191" s="4" t="str">
        <f t="shared" si="64"/>
        <v>Sharp Smart Remote</v>
      </c>
      <c r="N191" s="4" t="str">
        <f t="shared" si="41"/>
        <v>Compatible Sharp Smart TV LCD/LED Remotes</v>
      </c>
      <c r="O191" s="1" t="str">
        <f t="shared" si="42"/>
        <v>Get Any Compatible Sharp Smart TV LCD/LED Remotes Easily at Your Door-steps</v>
      </c>
      <c r="P191" s="1" t="str">
        <f t="shared" si="43"/>
        <v>Upix® Compatible Sharp Smart TV LCD/LED Remotes</v>
      </c>
      <c r="Q191" s="1" t="str">
        <f t="shared" si="44"/>
        <v>Get Any Upix® Compatible Sharp Smart TV LCD/LED Remotes Easily at Your Door-steps</v>
      </c>
    </row>
    <row r="192" spans="1:20" x14ac:dyDescent="0.3">
      <c r="A192" s="4">
        <v>191</v>
      </c>
      <c r="B192" s="4" t="s">
        <v>1344</v>
      </c>
      <c r="C192" s="4" t="s">
        <v>35</v>
      </c>
      <c r="D192" s="4" t="str">
        <f t="shared" si="56"/>
        <v>Toshiba Smart TV LCD/LED</v>
      </c>
      <c r="E192" s="5" t="str">
        <f t="shared" si="37"/>
        <v>Toshiba Smart TV LCD/LED Remotes</v>
      </c>
      <c r="F192" s="4" t="str">
        <f t="shared" si="38"/>
        <v>Toshiba Smart TV LCD/LED Remote Control</v>
      </c>
      <c r="G192" s="4" t="str">
        <f t="shared" si="39"/>
        <v>Remote for Toshiba Smart TV LCD/LED</v>
      </c>
      <c r="H192" s="4" t="str">
        <f t="shared" si="63"/>
        <v>Toshiba Smart TV Remote</v>
      </c>
      <c r="I192" s="4" t="str">
        <f t="shared" si="40"/>
        <v>Smart TV LCD/LED Remote for Toshiba Smart TV LCD/LED</v>
      </c>
      <c r="J192" s="4" t="str">
        <f t="shared" si="64"/>
        <v>Toshiba Smart Remote</v>
      </c>
      <c r="N192" s="4" t="str">
        <f t="shared" si="41"/>
        <v>Compatible Toshiba Smart TV LCD/LED Remotes</v>
      </c>
      <c r="O192" s="1" t="str">
        <f t="shared" si="42"/>
        <v>Get Any Compatible Toshiba Smart TV LCD/LED Remotes Easily at Your Door-steps</v>
      </c>
      <c r="P192" s="1" t="str">
        <f t="shared" si="43"/>
        <v>Upix® Compatible Toshiba Smart TV LCD/LED Remotes</v>
      </c>
      <c r="Q192" s="1" t="str">
        <f t="shared" si="44"/>
        <v>Get Any Upix® Compatible Toshiba Smart TV LCD/LED Remotes Easily at Your Door-steps</v>
      </c>
    </row>
    <row r="193" spans="1:17" x14ac:dyDescent="0.3">
      <c r="A193" s="4">
        <v>192</v>
      </c>
      <c r="B193" s="4" t="s">
        <v>1344</v>
      </c>
      <c r="C193" s="4" t="s">
        <v>1347</v>
      </c>
      <c r="D193" s="4" t="str">
        <f t="shared" si="56"/>
        <v>Xiaomi Mi Smart TV LCD/LED</v>
      </c>
      <c r="E193" s="5" t="str">
        <f t="shared" si="37"/>
        <v>Xiaomi Mi Smart TV LCD/LED Remotes</v>
      </c>
      <c r="F193" s="4" t="str">
        <f t="shared" si="38"/>
        <v>Xiaomi Mi Smart TV LCD/LED Remote Control</v>
      </c>
      <c r="G193" s="4" t="str">
        <f t="shared" si="39"/>
        <v>Remote for Xiaomi Mi Smart TV LCD/LED</v>
      </c>
      <c r="H193" s="4" t="str">
        <f t="shared" si="63"/>
        <v>Xiaomi Mi Smart TV Remote</v>
      </c>
      <c r="I193" s="4" t="str">
        <f t="shared" si="40"/>
        <v>Smart TV LCD/LED Remote for Xiaomi Mi Smart TV LCD/LED</v>
      </c>
      <c r="J193" s="4" t="str">
        <f t="shared" si="64"/>
        <v>Xiaomi Mi Smart Remote</v>
      </c>
      <c r="N193" s="4" t="str">
        <f t="shared" si="41"/>
        <v>Compatible Xiaomi Mi Smart TV LCD/LED Remotes</v>
      </c>
      <c r="O193" s="1" t="str">
        <f t="shared" si="42"/>
        <v>Get Any Compatible Xiaomi Mi Smart TV LCD/LED Remotes Easily at Your Door-steps</v>
      </c>
      <c r="P193" s="1" t="str">
        <f t="shared" si="43"/>
        <v>Upix® Compatible Xiaomi Mi Smart TV LCD/LED Remotes</v>
      </c>
      <c r="Q193" s="1" t="str">
        <f t="shared" si="44"/>
        <v>Get Any Upix® Compatible Xiaomi Mi Smart TV LCD/LED Remotes Easily at Your Door-steps</v>
      </c>
    </row>
    <row r="194" spans="1:17" x14ac:dyDescent="0.3">
      <c r="A194" s="4">
        <v>193</v>
      </c>
      <c r="B194" s="4" t="s">
        <v>1344</v>
      </c>
      <c r="C194" s="4" t="s">
        <v>570</v>
      </c>
      <c r="D194" s="4" t="str">
        <f t="shared" si="56"/>
        <v>Sanyo Smart TV LCD/LED</v>
      </c>
      <c r="E194" s="5" t="str">
        <f t="shared" si="37"/>
        <v>Sanyo Smart TV LCD/LED Remotes</v>
      </c>
      <c r="F194" s="4" t="str">
        <f t="shared" si="38"/>
        <v>Sanyo Smart TV LCD/LED Remote Control</v>
      </c>
      <c r="G194" s="4" t="str">
        <f t="shared" si="39"/>
        <v>Remote for Sanyo Smart TV LCD/LED</v>
      </c>
      <c r="H194" s="4" t="str">
        <f t="shared" si="63"/>
        <v>Sanyo Smart TV Remote</v>
      </c>
      <c r="I194" s="4" t="str">
        <f t="shared" si="40"/>
        <v>Smart TV LCD/LED Remote for Sanyo Smart TV LCD/LED</v>
      </c>
      <c r="J194" s="4" t="str">
        <f t="shared" si="64"/>
        <v>Sanyo Smart Remote</v>
      </c>
      <c r="N194" s="4" t="str">
        <f t="shared" si="41"/>
        <v>Compatible Sanyo Smart TV LCD/LED Remotes</v>
      </c>
      <c r="O194" s="1" t="str">
        <f t="shared" si="42"/>
        <v>Get Any Compatible Sanyo Smart TV LCD/LED Remotes Easily at Your Door-steps</v>
      </c>
      <c r="P194" s="1" t="str">
        <f t="shared" si="43"/>
        <v>Upix® Compatible Sanyo Smart TV LCD/LED Remotes</v>
      </c>
      <c r="Q194" s="1" t="str">
        <f t="shared" si="44"/>
        <v>Get Any Upix® Compatible Sanyo Smart TV LCD/LED Remotes Easily at Your Door-steps</v>
      </c>
    </row>
    <row r="195" spans="1:17" x14ac:dyDescent="0.3">
      <c r="A195" s="4">
        <v>194</v>
      </c>
      <c r="B195" s="4" t="s">
        <v>1344</v>
      </c>
      <c r="C195" s="4" t="s">
        <v>571</v>
      </c>
      <c r="D195" s="4" t="str">
        <f t="shared" si="56"/>
        <v>Thomson Smart TV LCD/LED</v>
      </c>
      <c r="E195" s="5" t="str">
        <f t="shared" ref="E195:E204" si="65">D195&amp;" Remotes"</f>
        <v>Thomson Smart TV LCD/LED Remotes</v>
      </c>
      <c r="F195" s="4" t="str">
        <f t="shared" ref="F195:F204" si="66">D195&amp;" Remote Control"</f>
        <v>Thomson Smart TV LCD/LED Remote Control</v>
      </c>
      <c r="G195" s="4" t="str">
        <f t="shared" ref="G195:G204" si="67">"Remote for "&amp;D195</f>
        <v>Remote for Thomson Smart TV LCD/LED</v>
      </c>
      <c r="H195" s="4" t="str">
        <f t="shared" si="63"/>
        <v>Thomson Smart TV Remote</v>
      </c>
      <c r="I195" s="4" t="str">
        <f t="shared" ref="I195:I202" si="68">B195&amp;" Remote for "&amp;D195</f>
        <v>Smart TV LCD/LED Remote for Thomson Smart TV LCD/LED</v>
      </c>
      <c r="J195" s="4" t="str">
        <f t="shared" si="64"/>
        <v>Thomson Smart Remote</v>
      </c>
      <c r="N195" s="4" t="str">
        <f t="shared" ref="N195:N204" si="69">"Compatible "&amp;E195</f>
        <v>Compatible Thomson Smart TV LCD/LED Remotes</v>
      </c>
      <c r="O195" s="1" t="str">
        <f t="shared" ref="O195:O204" si="70">"Get Any "&amp;N195&amp;" Easily at Your Door-steps"</f>
        <v>Get Any Compatible Thomson Smart TV LCD/LED Remotes Easily at Your Door-steps</v>
      </c>
      <c r="P195" s="1" t="str">
        <f t="shared" ref="P195:P204" si="71">"Upix® "&amp;N195</f>
        <v>Upix® Compatible Thomson Smart TV LCD/LED Remotes</v>
      </c>
      <c r="Q195" s="1" t="str">
        <f t="shared" ref="Q195:Q204" si="72">"Get Any "&amp;P195&amp;" Easily at Your Door-steps"</f>
        <v>Get Any Upix® Compatible Thomson Smart TV LCD/LED Remotes Easily at Your Door-steps</v>
      </c>
    </row>
    <row r="196" spans="1:17" x14ac:dyDescent="0.3">
      <c r="A196" s="4">
        <v>195</v>
      </c>
      <c r="B196" s="4" t="s">
        <v>1344</v>
      </c>
      <c r="C196" s="4" t="s">
        <v>591</v>
      </c>
      <c r="D196" s="4" t="str">
        <f t="shared" si="56"/>
        <v>Kodak Smart TV LCD/LED</v>
      </c>
      <c r="E196" s="5" t="str">
        <f t="shared" si="65"/>
        <v>Kodak Smart TV LCD/LED Remotes</v>
      </c>
      <c r="F196" s="4" t="str">
        <f t="shared" si="66"/>
        <v>Kodak Smart TV LCD/LED Remote Control</v>
      </c>
      <c r="G196" s="4" t="str">
        <f t="shared" si="67"/>
        <v>Remote for Kodak Smart TV LCD/LED</v>
      </c>
      <c r="H196" s="4" t="str">
        <f t="shared" si="63"/>
        <v>Kodak Smart TV Remote</v>
      </c>
      <c r="I196" s="4" t="str">
        <f t="shared" si="68"/>
        <v>Smart TV LCD/LED Remote for Kodak Smart TV LCD/LED</v>
      </c>
      <c r="J196" s="4" t="str">
        <f t="shared" si="64"/>
        <v>Kodak Smart Remote</v>
      </c>
      <c r="N196" s="4" t="str">
        <f t="shared" si="69"/>
        <v>Compatible Kodak Smart TV LCD/LED Remotes</v>
      </c>
      <c r="O196" s="1" t="str">
        <f t="shared" si="70"/>
        <v>Get Any Compatible Kodak Smart TV LCD/LED Remotes Easily at Your Door-steps</v>
      </c>
      <c r="P196" s="1" t="str">
        <f t="shared" si="71"/>
        <v>Upix® Compatible Kodak Smart TV LCD/LED Remotes</v>
      </c>
      <c r="Q196" s="1" t="str">
        <f t="shared" si="72"/>
        <v>Get Any Upix® Compatible Kodak Smart TV LCD/LED Remotes Easily at Your Door-steps</v>
      </c>
    </row>
    <row r="197" spans="1:17" x14ac:dyDescent="0.3">
      <c r="A197" s="4">
        <v>196</v>
      </c>
      <c r="B197" s="4" t="s">
        <v>1327</v>
      </c>
      <c r="C197" s="4" t="s">
        <v>1328</v>
      </c>
      <c r="D197" s="4" t="str">
        <f t="shared" si="56"/>
        <v>Amazon Fire TV Stick</v>
      </c>
      <c r="E197" s="5" t="s">
        <v>1326</v>
      </c>
      <c r="F197" s="4" t="str">
        <f t="shared" si="66"/>
        <v>Amazon Fire TV Stick Remote Control</v>
      </c>
      <c r="G197" s="4" t="str">
        <f t="shared" si="67"/>
        <v>Remote for Amazon Fire TV Stick</v>
      </c>
      <c r="H197" s="4" t="str">
        <f>"1st Gen, 2nd Gen, 3rd Gen "&amp;F197</f>
        <v>1st Gen, 2nd Gen, 3rd Gen Amazon Fire TV Stick Remote Control</v>
      </c>
      <c r="I197" s="4" t="str">
        <f t="shared" si="68"/>
        <v>Fire TV Stick Remote for Amazon Fire TV Stick</v>
      </c>
      <c r="J197" s="4" t="str">
        <f t="shared" ref="J197" si="73">F197&amp;" Not Working"</f>
        <v>Amazon Fire TV Stick Remote Control Not Working</v>
      </c>
      <c r="N197" s="4" t="str">
        <f t="shared" si="69"/>
        <v>Compatible Amazon Fire TV Stick Remotes</v>
      </c>
      <c r="O197" s="1" t="str">
        <f t="shared" si="70"/>
        <v>Get Any Compatible Amazon Fire TV Stick Remotes Easily at Your Door-steps</v>
      </c>
      <c r="P197" s="1" t="str">
        <f t="shared" si="71"/>
        <v>Upix® Compatible Amazon Fire TV Stick Remotes</v>
      </c>
      <c r="Q197" s="1" t="str">
        <f t="shared" si="72"/>
        <v>Get Any Upix® Compatible Amazon Fire TV Stick Remotes Easily at Your Door-steps</v>
      </c>
    </row>
    <row r="198" spans="1:17" x14ac:dyDescent="0.3">
      <c r="A198" s="4">
        <v>197</v>
      </c>
      <c r="B198" s="4" t="s">
        <v>1344</v>
      </c>
      <c r="C198" s="4" t="s">
        <v>602</v>
      </c>
      <c r="D198" s="4" t="str">
        <f t="shared" si="56"/>
        <v>F&amp;D Smart TV LCD/LED</v>
      </c>
      <c r="E198" s="5" t="str">
        <f t="shared" si="65"/>
        <v>F&amp;D Smart TV LCD/LED Remotes</v>
      </c>
      <c r="F198" s="4" t="str">
        <f t="shared" si="66"/>
        <v>F&amp;D Smart TV LCD/LED Remote Control</v>
      </c>
      <c r="G198" s="4" t="str">
        <f t="shared" si="67"/>
        <v>Remote for F&amp;D Smart TV LCD/LED</v>
      </c>
      <c r="H198" s="4" t="str">
        <f t="shared" ref="H198:H202" si="74">C198&amp;" Smart TV Remote"</f>
        <v>F&amp;D Smart TV Remote</v>
      </c>
      <c r="I198" s="4" t="str">
        <f t="shared" si="68"/>
        <v>Smart TV LCD/LED Remote for F&amp;D Smart TV LCD/LED</v>
      </c>
      <c r="J198" s="4" t="str">
        <f t="shared" ref="J198:J202" si="75">C198&amp;" Smart Remote"</f>
        <v>F&amp;D Smart Remote</v>
      </c>
      <c r="N198" s="4" t="str">
        <f t="shared" si="69"/>
        <v>Compatible F&amp;D Smart TV LCD/LED Remotes</v>
      </c>
      <c r="O198" s="1" t="str">
        <f t="shared" si="70"/>
        <v>Get Any Compatible F&amp;D Smart TV LCD/LED Remotes Easily at Your Door-steps</v>
      </c>
      <c r="P198" s="1" t="str">
        <f t="shared" si="71"/>
        <v>Upix® Compatible F&amp;D Smart TV LCD/LED Remotes</v>
      </c>
      <c r="Q198" s="1" t="str">
        <f t="shared" si="72"/>
        <v>Get Any Upix® Compatible F&amp;D Smart TV LCD/LED Remotes Easily at Your Door-steps</v>
      </c>
    </row>
    <row r="199" spans="1:17" x14ac:dyDescent="0.3">
      <c r="A199" s="4">
        <v>198</v>
      </c>
      <c r="B199" s="4" t="s">
        <v>1344</v>
      </c>
      <c r="C199" s="4" t="s">
        <v>627</v>
      </c>
      <c r="D199" s="4" t="str">
        <f t="shared" si="56"/>
        <v>LE Smart TV LCD/LED</v>
      </c>
      <c r="E199" s="5" t="str">
        <f t="shared" si="65"/>
        <v>LE Smart TV LCD/LED Remotes</v>
      </c>
      <c r="F199" s="4" t="str">
        <f t="shared" si="66"/>
        <v>LE Smart TV LCD/LED Remote Control</v>
      </c>
      <c r="G199" s="4" t="str">
        <f t="shared" si="67"/>
        <v>Remote for LE Smart TV LCD/LED</v>
      </c>
      <c r="H199" s="4" t="str">
        <f t="shared" si="74"/>
        <v>LE Smart TV Remote</v>
      </c>
      <c r="I199" s="4" t="str">
        <f t="shared" si="68"/>
        <v>Smart TV LCD/LED Remote for LE Smart TV LCD/LED</v>
      </c>
      <c r="J199" s="4" t="str">
        <f t="shared" si="75"/>
        <v>LE Smart Remote</v>
      </c>
      <c r="N199" s="4" t="str">
        <f t="shared" si="69"/>
        <v>Compatible LE Smart TV LCD/LED Remotes</v>
      </c>
      <c r="O199" s="1" t="str">
        <f t="shared" si="70"/>
        <v>Get Any Compatible LE Smart TV LCD/LED Remotes Easily at Your Door-steps</v>
      </c>
      <c r="P199" s="1" t="str">
        <f t="shared" si="71"/>
        <v>Upix® Compatible LE Smart TV LCD/LED Remotes</v>
      </c>
      <c r="Q199" s="1" t="str">
        <f t="shared" si="72"/>
        <v>Get Any Upix® Compatible LE Smart TV LCD/LED Remotes Easily at Your Door-steps</v>
      </c>
    </row>
    <row r="200" spans="1:17" x14ac:dyDescent="0.3">
      <c r="A200" s="4">
        <v>199</v>
      </c>
      <c r="B200" s="4" t="s">
        <v>1344</v>
      </c>
      <c r="C200" s="4" t="s">
        <v>68</v>
      </c>
      <c r="D200" s="4" t="str">
        <f t="shared" si="56"/>
        <v>Amstrad Smart TV LCD/LED</v>
      </c>
      <c r="E200" s="5" t="str">
        <f t="shared" si="65"/>
        <v>Amstrad Smart TV LCD/LED Remotes</v>
      </c>
      <c r="F200" s="4" t="str">
        <f t="shared" si="66"/>
        <v>Amstrad Smart TV LCD/LED Remote Control</v>
      </c>
      <c r="G200" s="4" t="str">
        <f t="shared" si="67"/>
        <v>Remote for Amstrad Smart TV LCD/LED</v>
      </c>
      <c r="H200" s="4" t="str">
        <f t="shared" si="74"/>
        <v>Amstrad Smart TV Remote</v>
      </c>
      <c r="I200" s="4" t="str">
        <f t="shared" si="68"/>
        <v>Smart TV LCD/LED Remote for Amstrad Smart TV LCD/LED</v>
      </c>
      <c r="J200" s="4" t="str">
        <f t="shared" si="75"/>
        <v>Amstrad Smart Remote</v>
      </c>
      <c r="N200" s="4" t="str">
        <f t="shared" si="69"/>
        <v>Compatible Amstrad Smart TV LCD/LED Remotes</v>
      </c>
      <c r="O200" s="1" t="str">
        <f t="shared" si="70"/>
        <v>Get Any Compatible Amstrad Smart TV LCD/LED Remotes Easily at Your Door-steps</v>
      </c>
      <c r="P200" s="1" t="str">
        <f t="shared" si="71"/>
        <v>Upix® Compatible Amstrad Smart TV LCD/LED Remotes</v>
      </c>
      <c r="Q200" s="1" t="str">
        <f t="shared" si="72"/>
        <v>Get Any Upix® Compatible Amstrad Smart TV LCD/LED Remotes Easily at Your Door-steps</v>
      </c>
    </row>
    <row r="201" spans="1:17" x14ac:dyDescent="0.3">
      <c r="A201" s="4">
        <v>200</v>
      </c>
      <c r="B201" s="4" t="s">
        <v>1344</v>
      </c>
      <c r="C201" s="4" t="s">
        <v>51</v>
      </c>
      <c r="D201" s="4" t="str">
        <f t="shared" si="56"/>
        <v>BPL Smart TV LCD/LED</v>
      </c>
      <c r="E201" s="5" t="str">
        <f t="shared" si="65"/>
        <v>BPL Smart TV LCD/LED Remotes</v>
      </c>
      <c r="F201" s="4" t="str">
        <f t="shared" si="66"/>
        <v>BPL Smart TV LCD/LED Remote Control</v>
      </c>
      <c r="G201" s="4" t="str">
        <f t="shared" si="67"/>
        <v>Remote for BPL Smart TV LCD/LED</v>
      </c>
      <c r="H201" s="4" t="str">
        <f t="shared" si="74"/>
        <v>BPL Smart TV Remote</v>
      </c>
      <c r="I201" s="4" t="str">
        <f t="shared" si="68"/>
        <v>Smart TV LCD/LED Remote for BPL Smart TV LCD/LED</v>
      </c>
      <c r="J201" s="4" t="str">
        <f t="shared" si="75"/>
        <v>BPL Smart Remote</v>
      </c>
      <c r="N201" s="4" t="str">
        <f t="shared" si="69"/>
        <v>Compatible BPL Smart TV LCD/LED Remotes</v>
      </c>
      <c r="O201" s="1" t="str">
        <f t="shared" si="70"/>
        <v>Get Any Compatible BPL Smart TV LCD/LED Remotes Easily at Your Door-steps</v>
      </c>
      <c r="P201" s="1" t="str">
        <f t="shared" si="71"/>
        <v>Upix® Compatible BPL Smart TV LCD/LED Remotes</v>
      </c>
      <c r="Q201" s="1" t="str">
        <f t="shared" si="72"/>
        <v>Get Any Upix® Compatible BPL Smart TV LCD/LED Remotes Easily at Your Door-steps</v>
      </c>
    </row>
    <row r="202" spans="1:17" x14ac:dyDescent="0.3">
      <c r="A202" s="4">
        <v>201</v>
      </c>
      <c r="B202" s="4" t="s">
        <v>1344</v>
      </c>
      <c r="C202" s="4" t="s">
        <v>1346</v>
      </c>
      <c r="D202" s="4" t="str">
        <f t="shared" si="56"/>
        <v>Amazon Basics Smart TV LCD/LED</v>
      </c>
      <c r="E202" s="4" t="str">
        <f t="shared" si="65"/>
        <v>Amazon Basics Smart TV LCD/LED Remotes</v>
      </c>
      <c r="F202" s="4" t="str">
        <f t="shared" si="66"/>
        <v>Amazon Basics Smart TV LCD/LED Remote Control</v>
      </c>
      <c r="G202" s="4" t="str">
        <f t="shared" si="67"/>
        <v>Remote for Amazon Basics Smart TV LCD/LED</v>
      </c>
      <c r="H202" s="4" t="str">
        <f t="shared" si="74"/>
        <v>Amazon Basics Smart TV Remote</v>
      </c>
      <c r="I202" s="4" t="str">
        <f t="shared" si="68"/>
        <v>Smart TV LCD/LED Remote for Amazon Basics Smart TV LCD/LED</v>
      </c>
      <c r="J202" s="4" t="str">
        <f t="shared" si="75"/>
        <v>Amazon Basics Smart Remote</v>
      </c>
      <c r="N202" s="4" t="str">
        <f t="shared" si="69"/>
        <v>Compatible Amazon Basics Smart TV LCD/LED Remotes</v>
      </c>
      <c r="O202" s="4" t="str">
        <f t="shared" si="70"/>
        <v>Get Any Compatible Amazon Basics Smart TV LCD/LED Remotes Easily at Your Door-steps</v>
      </c>
      <c r="P202" s="4" t="str">
        <f t="shared" si="71"/>
        <v>Upix® Compatible Amazon Basics Smart TV LCD/LED Remotes</v>
      </c>
      <c r="Q202" s="4" t="str">
        <f t="shared" si="72"/>
        <v>Get Any Upix® Compatible Amazon Basics Smart TV LCD/LED Remotes Easily at Your Door-steps</v>
      </c>
    </row>
    <row r="203" spans="1:17" x14ac:dyDescent="0.3">
      <c r="A203" s="4">
        <v>202</v>
      </c>
      <c r="B203" s="4" t="s">
        <v>3</v>
      </c>
      <c r="C203" s="4" t="s">
        <v>1537</v>
      </c>
      <c r="D203" s="4" t="str">
        <f t="shared" si="56"/>
        <v>Avoir AC</v>
      </c>
      <c r="E203" s="4" t="str">
        <f t="shared" si="65"/>
        <v>Avoir AC Remotes</v>
      </c>
      <c r="F203" s="4" t="str">
        <f t="shared" si="66"/>
        <v>Avoir AC Remote Control</v>
      </c>
      <c r="G203" s="4" t="str">
        <f t="shared" si="67"/>
        <v>Remote for Avoir AC</v>
      </c>
      <c r="H203" s="4" t="str">
        <f>C203&amp;" Air Conditioner Remote"</f>
        <v>Avoir Air Conditioner Remote</v>
      </c>
      <c r="I203" s="4" t="str">
        <f>B203&amp;" Remote for "&amp;D203</f>
        <v>AC Remote for Avoir AC</v>
      </c>
      <c r="J203" s="4" t="str">
        <f>F203&amp;" Not Working"</f>
        <v>Avoir AC Remote Control Not Working</v>
      </c>
      <c r="N203" s="4" t="str">
        <f t="shared" si="69"/>
        <v>Compatible Avoir AC Remotes</v>
      </c>
      <c r="O203" s="4" t="str">
        <f t="shared" si="70"/>
        <v>Get Any Compatible Avoir AC Remotes Easily at Your Door-steps</v>
      </c>
      <c r="P203" s="4" t="str">
        <f t="shared" si="71"/>
        <v>Upix® Compatible Avoir AC Remotes</v>
      </c>
      <c r="Q203" s="4" t="str">
        <f t="shared" si="72"/>
        <v>Get Any Upix® Compatible Avoir AC Remotes Easily at Your Door-steps</v>
      </c>
    </row>
    <row r="204" spans="1:17" x14ac:dyDescent="0.3">
      <c r="A204" s="4">
        <v>203</v>
      </c>
      <c r="B204" s="4" t="s">
        <v>3</v>
      </c>
      <c r="C204" s="4" t="s">
        <v>51</v>
      </c>
      <c r="D204" s="4" t="str">
        <f t="shared" si="56"/>
        <v>BPL AC</v>
      </c>
      <c r="E204" s="4" t="str">
        <f t="shared" si="65"/>
        <v>BPL AC Remotes</v>
      </c>
      <c r="F204" s="4" t="str">
        <f t="shared" si="66"/>
        <v>BPL AC Remote Control</v>
      </c>
      <c r="G204" s="4" t="str">
        <f t="shared" si="67"/>
        <v>Remote for BPL AC</v>
      </c>
      <c r="H204" s="4" t="str">
        <f>C204&amp;" Air Conditioner Remote"</f>
        <v>BPL Air Conditioner Remote</v>
      </c>
      <c r="I204" s="4" t="str">
        <f>B204&amp;" Remote for "&amp;D204</f>
        <v>AC Remote for BPL AC</v>
      </c>
      <c r="J204" s="4" t="str">
        <f>F204&amp;" Not Working"</f>
        <v>BPL AC Remote Control Not Working</v>
      </c>
      <c r="N204" s="4" t="str">
        <f t="shared" si="69"/>
        <v>Compatible BPL AC Remotes</v>
      </c>
      <c r="O204" s="4" t="str">
        <f t="shared" si="70"/>
        <v>Get Any Compatible BPL AC Remotes Easily at Your Door-steps</v>
      </c>
      <c r="P204" s="4" t="str">
        <f t="shared" si="71"/>
        <v>Upix® Compatible BPL AC Remotes</v>
      </c>
      <c r="Q204" s="4" t="str">
        <f t="shared" si="72"/>
        <v>Get Any Upix® Compatible BPL AC Remotes Easily at Your Door-steps</v>
      </c>
    </row>
  </sheetData>
  <dataValidations disablePrompts="1" count="1">
    <dataValidation allowBlank="1" showInputMessage="1" sqref="T2:T178 R2:R178" xr:uid="{00000000-0002-0000-0000-000000000000}"/>
  </dataValidations>
  <pageMargins left="0.7" right="0.7" top="0.75" bottom="0.75" header="0.3" footer="0.3"/>
  <pageSetup paperSize="9" orientation="portrait" r:id="rId1"/>
  <ignoredErrors>
    <ignoredError sqref="D169 P3:P201 E86 H136 H177 H197 J52 J19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93998-AEB6-4B78-A660-9D9BBF09B0EE}">
  <dimension ref="A1:I45"/>
  <sheetViews>
    <sheetView tabSelected="1" workbookViewId="0">
      <selection activeCell="C15" sqref="C15"/>
    </sheetView>
  </sheetViews>
  <sheetFormatPr defaultColWidth="8.88671875" defaultRowHeight="14.4" x14ac:dyDescent="0.3"/>
  <cols>
    <col min="1" max="1" width="6.5546875" style="1" bestFit="1" customWidth="1"/>
    <col min="2" max="2" width="32.6640625" style="1" bestFit="1" customWidth="1"/>
    <col min="3" max="3" width="28" style="1" bestFit="1" customWidth="1"/>
    <col min="4" max="4" width="114.33203125" style="21" customWidth="1"/>
    <col min="5" max="5" width="28.6640625" style="1" bestFit="1" customWidth="1"/>
    <col min="6" max="6" width="29.109375" style="1" bestFit="1" customWidth="1"/>
    <col min="7" max="7" width="30.21875" style="1" bestFit="1" customWidth="1"/>
    <col min="8" max="8" width="33.77734375" style="1" bestFit="1" customWidth="1"/>
    <col min="9" max="9" width="32.44140625" style="1" bestFit="1" customWidth="1"/>
    <col min="10" max="16384" width="8.88671875" style="1"/>
  </cols>
  <sheetData>
    <row r="1" spans="1:9" x14ac:dyDescent="0.3">
      <c r="A1" s="12" t="s">
        <v>0</v>
      </c>
      <c r="B1" s="15" t="s">
        <v>1331</v>
      </c>
      <c r="C1" s="15" t="s">
        <v>1332</v>
      </c>
      <c r="D1" s="29" t="s">
        <v>1286</v>
      </c>
      <c r="E1" s="1" t="s">
        <v>1350</v>
      </c>
      <c r="F1" s="1" t="s">
        <v>1353</v>
      </c>
      <c r="G1" s="1" t="s">
        <v>1352</v>
      </c>
      <c r="H1" s="1" t="s">
        <v>1351</v>
      </c>
      <c r="I1" s="1" t="s">
        <v>1354</v>
      </c>
    </row>
    <row r="2" spans="1:9" x14ac:dyDescent="0.3">
      <c r="A2" s="1">
        <v>1</v>
      </c>
      <c r="B2" s="35" t="s">
        <v>1314</v>
      </c>
      <c r="C2" s="8" t="s">
        <v>1232</v>
      </c>
      <c r="D2" s="38" t="s">
        <v>1270</v>
      </c>
      <c r="E2" s="1" t="s">
        <v>1360</v>
      </c>
      <c r="F2" s="1" t="s">
        <v>1376</v>
      </c>
      <c r="G2" s="1" t="s">
        <v>1364</v>
      </c>
      <c r="H2" s="1" t="s">
        <v>1361</v>
      </c>
      <c r="I2" s="1" t="s">
        <v>1362</v>
      </c>
    </row>
    <row r="3" spans="1:9" x14ac:dyDescent="0.3">
      <c r="A3" s="1">
        <v>2</v>
      </c>
      <c r="B3" s="34"/>
      <c r="C3" s="8" t="s">
        <v>1233</v>
      </c>
      <c r="D3" s="38"/>
      <c r="E3" s="1" t="s">
        <v>1363</v>
      </c>
      <c r="F3" s="1" t="s">
        <v>1377</v>
      </c>
      <c r="G3" s="1" t="s">
        <v>1365</v>
      </c>
      <c r="H3" s="1" t="s">
        <v>1361</v>
      </c>
      <c r="I3" s="1" t="s">
        <v>1362</v>
      </c>
    </row>
    <row r="4" spans="1:9" x14ac:dyDescent="0.3">
      <c r="A4" s="1">
        <v>3</v>
      </c>
      <c r="B4" s="34"/>
      <c r="C4" s="8" t="s">
        <v>1234</v>
      </c>
      <c r="D4" s="38"/>
      <c r="E4" s="1" t="s">
        <v>1366</v>
      </c>
      <c r="F4" s="1" t="s">
        <v>1375</v>
      </c>
      <c r="G4" s="1" t="s">
        <v>1367</v>
      </c>
      <c r="H4" s="1" t="s">
        <v>1361</v>
      </c>
      <c r="I4" s="1" t="s">
        <v>1362</v>
      </c>
    </row>
    <row r="5" spans="1:9" x14ac:dyDescent="0.3">
      <c r="A5" s="1">
        <v>4</v>
      </c>
      <c r="B5" s="34"/>
      <c r="C5" s="8" t="s">
        <v>1235</v>
      </c>
      <c r="D5" s="38"/>
      <c r="E5" s="1" t="s">
        <v>1368</v>
      </c>
      <c r="F5" s="1" t="s">
        <v>1371</v>
      </c>
      <c r="G5" s="1" t="s">
        <v>1374</v>
      </c>
      <c r="H5" s="1" t="s">
        <v>1361</v>
      </c>
      <c r="I5" s="1" t="s">
        <v>1362</v>
      </c>
    </row>
    <row r="6" spans="1:9" x14ac:dyDescent="0.3">
      <c r="A6" s="1">
        <v>5</v>
      </c>
      <c r="B6" s="34"/>
      <c r="C6" s="8" t="s">
        <v>1236</v>
      </c>
      <c r="D6" s="38"/>
      <c r="E6" s="1" t="s">
        <v>1369</v>
      </c>
      <c r="F6" s="1" t="s">
        <v>1372</v>
      </c>
      <c r="G6" s="1" t="s">
        <v>1373</v>
      </c>
      <c r="H6" s="1" t="s">
        <v>1361</v>
      </c>
      <c r="I6" s="1" t="s">
        <v>1362</v>
      </c>
    </row>
    <row r="7" spans="1:9" x14ac:dyDescent="0.3">
      <c r="A7" s="1">
        <v>6</v>
      </c>
      <c r="B7" s="34"/>
      <c r="C7" s="1" t="s">
        <v>1237</v>
      </c>
      <c r="D7" s="38"/>
      <c r="E7" s="1" t="s">
        <v>1370</v>
      </c>
      <c r="F7" s="1" t="s">
        <v>1378</v>
      </c>
      <c r="G7" s="1" t="s">
        <v>1379</v>
      </c>
      <c r="H7" s="1" t="s">
        <v>1361</v>
      </c>
      <c r="I7" s="1" t="s">
        <v>1362</v>
      </c>
    </row>
    <row r="8" spans="1:9" ht="28.8" x14ac:dyDescent="0.3">
      <c r="A8" s="1">
        <v>7</v>
      </c>
      <c r="B8" s="34"/>
      <c r="C8" s="8" t="s">
        <v>1238</v>
      </c>
      <c r="D8" s="24" t="s">
        <v>1275</v>
      </c>
      <c r="E8" s="1" t="s">
        <v>1413</v>
      </c>
      <c r="F8" s="1" t="s">
        <v>1414</v>
      </c>
      <c r="G8" s="1" t="s">
        <v>1415</v>
      </c>
      <c r="H8" s="1" t="s">
        <v>1416</v>
      </c>
      <c r="I8" s="1" t="s">
        <v>1417</v>
      </c>
    </row>
    <row r="9" spans="1:9" x14ac:dyDescent="0.3">
      <c r="A9" s="1">
        <v>8</v>
      </c>
      <c r="B9" s="34"/>
      <c r="C9" s="1" t="s">
        <v>1239</v>
      </c>
      <c r="D9" s="21" t="s">
        <v>1271</v>
      </c>
      <c r="E9" s="1" t="s">
        <v>1418</v>
      </c>
      <c r="F9" s="1" t="s">
        <v>1419</v>
      </c>
      <c r="G9" s="1" t="s">
        <v>1415</v>
      </c>
      <c r="H9" s="1" t="s">
        <v>1416</v>
      </c>
      <c r="I9" s="1" t="s">
        <v>1417</v>
      </c>
    </row>
    <row r="10" spans="1:9" x14ac:dyDescent="0.3">
      <c r="A10" s="1">
        <v>9</v>
      </c>
      <c r="B10" s="34"/>
      <c r="C10" s="8" t="s">
        <v>1240</v>
      </c>
      <c r="D10" s="21" t="s">
        <v>1272</v>
      </c>
      <c r="E10" s="1" t="s">
        <v>1420</v>
      </c>
      <c r="F10" s="1" t="s">
        <v>1421</v>
      </c>
      <c r="G10" s="1" t="s">
        <v>1423</v>
      </c>
      <c r="H10" s="1" t="s">
        <v>1424</v>
      </c>
      <c r="I10" s="1" t="s">
        <v>1425</v>
      </c>
    </row>
    <row r="11" spans="1:9" x14ac:dyDescent="0.3">
      <c r="A11" s="1">
        <v>10</v>
      </c>
      <c r="B11" s="34"/>
      <c r="C11" s="1" t="s">
        <v>1241</v>
      </c>
      <c r="D11" s="25" t="s">
        <v>1276</v>
      </c>
      <c r="E11" s="1" t="s">
        <v>1426</v>
      </c>
      <c r="F11" s="1" t="s">
        <v>1422</v>
      </c>
      <c r="G11" s="1" t="s">
        <v>1427</v>
      </c>
      <c r="H11" s="1" t="s">
        <v>1428</v>
      </c>
      <c r="I11" s="1" t="s">
        <v>1425</v>
      </c>
    </row>
    <row r="12" spans="1:9" x14ac:dyDescent="0.3">
      <c r="A12" s="1">
        <v>11</v>
      </c>
      <c r="B12" s="35" t="s">
        <v>1315</v>
      </c>
      <c r="C12" s="8" t="s">
        <v>1232</v>
      </c>
      <c r="D12" s="39" t="s">
        <v>1273</v>
      </c>
      <c r="E12" s="1" t="s">
        <v>1380</v>
      </c>
      <c r="F12" s="1" t="s">
        <v>1381</v>
      </c>
      <c r="G12" s="1" t="s">
        <v>1382</v>
      </c>
      <c r="H12" s="1" t="s">
        <v>1383</v>
      </c>
      <c r="I12" s="1" t="s">
        <v>1384</v>
      </c>
    </row>
    <row r="13" spans="1:9" x14ac:dyDescent="0.3">
      <c r="A13" s="1">
        <v>12</v>
      </c>
      <c r="B13" s="34"/>
      <c r="C13" s="8" t="s">
        <v>1233</v>
      </c>
      <c r="D13" s="39"/>
      <c r="E13" s="1" t="s">
        <v>1385</v>
      </c>
      <c r="F13" s="1" t="s">
        <v>1386</v>
      </c>
      <c r="G13" s="1" t="s">
        <v>1387</v>
      </c>
      <c r="H13" s="1" t="s">
        <v>1383</v>
      </c>
      <c r="I13" s="1" t="s">
        <v>1384</v>
      </c>
    </row>
    <row r="14" spans="1:9" x14ac:dyDescent="0.3">
      <c r="A14" s="1">
        <v>13</v>
      </c>
      <c r="B14" s="34"/>
      <c r="C14" s="8" t="s">
        <v>1234</v>
      </c>
      <c r="D14" s="39"/>
      <c r="E14" s="1" t="s">
        <v>1388</v>
      </c>
      <c r="F14" s="1" t="s">
        <v>1389</v>
      </c>
      <c r="G14" s="1" t="s">
        <v>1390</v>
      </c>
      <c r="H14" s="1" t="s">
        <v>1383</v>
      </c>
      <c r="I14" s="1" t="s">
        <v>1384</v>
      </c>
    </row>
    <row r="15" spans="1:9" x14ac:dyDescent="0.3">
      <c r="A15" s="1">
        <v>14</v>
      </c>
      <c r="B15" s="34"/>
      <c r="C15" s="8" t="s">
        <v>1235</v>
      </c>
      <c r="D15" s="39"/>
      <c r="E15" s="1" t="s">
        <v>1391</v>
      </c>
      <c r="F15" s="1" t="s">
        <v>1392</v>
      </c>
      <c r="G15" s="1" t="s">
        <v>1393</v>
      </c>
      <c r="H15" s="1" t="s">
        <v>1383</v>
      </c>
      <c r="I15" s="1" t="s">
        <v>1384</v>
      </c>
    </row>
    <row r="16" spans="1:9" x14ac:dyDescent="0.3">
      <c r="A16" s="1">
        <v>15</v>
      </c>
      <c r="B16" s="34"/>
      <c r="C16" s="8" t="s">
        <v>1236</v>
      </c>
      <c r="D16" s="39"/>
      <c r="E16" s="1" t="s">
        <v>1394</v>
      </c>
      <c r="F16" s="1" t="s">
        <v>1395</v>
      </c>
      <c r="G16" s="1" t="s">
        <v>1396</v>
      </c>
      <c r="H16" s="1" t="s">
        <v>1383</v>
      </c>
      <c r="I16" s="1" t="s">
        <v>1384</v>
      </c>
    </row>
    <row r="17" spans="1:9" x14ac:dyDescent="0.3">
      <c r="A17" s="1">
        <v>16</v>
      </c>
      <c r="B17" s="34"/>
      <c r="C17" s="1" t="s">
        <v>1237</v>
      </c>
      <c r="D17" s="39"/>
      <c r="E17" s="1" t="s">
        <v>1397</v>
      </c>
      <c r="F17" s="1" t="s">
        <v>1398</v>
      </c>
      <c r="G17" s="1" t="s">
        <v>1399</v>
      </c>
      <c r="H17" s="1" t="s">
        <v>1383</v>
      </c>
      <c r="I17" s="1" t="s">
        <v>1384</v>
      </c>
    </row>
    <row r="18" spans="1:9" x14ac:dyDescent="0.3">
      <c r="A18" s="1">
        <v>17</v>
      </c>
      <c r="B18" s="35" t="s">
        <v>1317</v>
      </c>
      <c r="C18" s="8" t="s">
        <v>1232</v>
      </c>
      <c r="D18" s="38" t="s">
        <v>1274</v>
      </c>
      <c r="E18" s="1" t="s">
        <v>1404</v>
      </c>
      <c r="F18" s="1" t="s">
        <v>1405</v>
      </c>
      <c r="G18" s="1" t="s">
        <v>1406</v>
      </c>
      <c r="H18" s="1" t="s">
        <v>1407</v>
      </c>
      <c r="I18" s="1" t="s">
        <v>1408</v>
      </c>
    </row>
    <row r="19" spans="1:9" x14ac:dyDescent="0.3">
      <c r="A19" s="1">
        <v>18</v>
      </c>
      <c r="B19" s="35"/>
      <c r="C19" s="8" t="s">
        <v>1234</v>
      </c>
      <c r="D19" s="38"/>
      <c r="E19" s="1" t="s">
        <v>1409</v>
      </c>
      <c r="F19" s="1" t="s">
        <v>1405</v>
      </c>
      <c r="G19" s="1" t="s">
        <v>1411</v>
      </c>
      <c r="H19" s="1" t="s">
        <v>1407</v>
      </c>
      <c r="I19" s="1" t="s">
        <v>1408</v>
      </c>
    </row>
    <row r="20" spans="1:9" x14ac:dyDescent="0.3">
      <c r="A20" s="1">
        <v>19</v>
      </c>
      <c r="B20" s="34"/>
      <c r="C20" s="8" t="s">
        <v>1235</v>
      </c>
      <c r="D20" s="38"/>
      <c r="E20" s="1" t="s">
        <v>1410</v>
      </c>
      <c r="F20" s="1" t="s">
        <v>1405</v>
      </c>
      <c r="G20" s="1" t="s">
        <v>1412</v>
      </c>
      <c r="H20" s="1" t="s">
        <v>1407</v>
      </c>
      <c r="I20" s="1" t="s">
        <v>1408</v>
      </c>
    </row>
    <row r="21" spans="1:9" x14ac:dyDescent="0.3">
      <c r="A21" s="1">
        <v>20</v>
      </c>
      <c r="B21" s="35" t="s">
        <v>1316</v>
      </c>
      <c r="C21" s="8" t="s">
        <v>1232</v>
      </c>
      <c r="D21" s="39" t="s">
        <v>1277</v>
      </c>
      <c r="E21" s="1" t="s">
        <v>1434</v>
      </c>
      <c r="F21" s="1" t="s">
        <v>1435</v>
      </c>
      <c r="G21" s="1" t="s">
        <v>1431</v>
      </c>
      <c r="H21" s="1" t="s">
        <v>1432</v>
      </c>
      <c r="I21" s="1" t="s">
        <v>1433</v>
      </c>
    </row>
    <row r="22" spans="1:9" x14ac:dyDescent="0.3">
      <c r="A22" s="1">
        <v>21</v>
      </c>
      <c r="B22" s="34"/>
      <c r="C22" s="8" t="s">
        <v>1233</v>
      </c>
      <c r="D22" s="39"/>
      <c r="E22" s="1" t="s">
        <v>1436</v>
      </c>
      <c r="F22" s="1" t="s">
        <v>1438</v>
      </c>
      <c r="G22" s="1" t="s">
        <v>1431</v>
      </c>
      <c r="H22" s="1" t="s">
        <v>1432</v>
      </c>
      <c r="I22" s="1" t="s">
        <v>1433</v>
      </c>
    </row>
    <row r="23" spans="1:9" x14ac:dyDescent="0.3">
      <c r="A23" s="1">
        <v>22</v>
      </c>
      <c r="B23" s="34"/>
      <c r="C23" s="8" t="s">
        <v>1234</v>
      </c>
      <c r="D23" s="39"/>
      <c r="E23" s="1" t="s">
        <v>1437</v>
      </c>
      <c r="F23" s="1" t="s">
        <v>1439</v>
      </c>
      <c r="G23" s="1" t="s">
        <v>1431</v>
      </c>
      <c r="H23" s="1" t="s">
        <v>1432</v>
      </c>
      <c r="I23" s="1" t="s">
        <v>1433</v>
      </c>
    </row>
    <row r="24" spans="1:9" x14ac:dyDescent="0.3">
      <c r="A24" s="1">
        <v>23</v>
      </c>
      <c r="B24" s="34"/>
      <c r="C24" s="8" t="s">
        <v>1235</v>
      </c>
      <c r="D24" s="39"/>
      <c r="E24" s="1" t="s">
        <v>1464</v>
      </c>
      <c r="F24" s="1" t="s">
        <v>1440</v>
      </c>
      <c r="G24" s="1" t="s">
        <v>1431</v>
      </c>
      <c r="H24" s="1" t="s">
        <v>1432</v>
      </c>
      <c r="I24" s="1" t="s">
        <v>1433</v>
      </c>
    </row>
    <row r="25" spans="1:9" x14ac:dyDescent="0.3">
      <c r="A25" s="1">
        <v>24</v>
      </c>
      <c r="B25" s="33" t="s">
        <v>1318</v>
      </c>
      <c r="C25" s="8" t="s">
        <v>1232</v>
      </c>
      <c r="D25" s="40" t="s">
        <v>1278</v>
      </c>
      <c r="E25" s="1" t="s">
        <v>1441</v>
      </c>
      <c r="F25" s="1" t="s">
        <v>1444</v>
      </c>
      <c r="G25" s="1" t="s">
        <v>1442</v>
      </c>
      <c r="H25" s="1" t="s">
        <v>1443</v>
      </c>
      <c r="I25" s="1" t="s">
        <v>1445</v>
      </c>
    </row>
    <row r="26" spans="1:9" x14ac:dyDescent="0.3">
      <c r="A26" s="1">
        <v>25</v>
      </c>
      <c r="B26" s="34"/>
      <c r="C26" s="8" t="s">
        <v>1233</v>
      </c>
      <c r="D26" s="40"/>
      <c r="E26" s="1" t="s">
        <v>1446</v>
      </c>
      <c r="F26" s="1" t="s">
        <v>1447</v>
      </c>
      <c r="G26" s="1" t="s">
        <v>1442</v>
      </c>
      <c r="H26" s="1" t="s">
        <v>1443</v>
      </c>
      <c r="I26" s="1" t="s">
        <v>1445</v>
      </c>
    </row>
    <row r="27" spans="1:9" ht="28.8" x14ac:dyDescent="0.3">
      <c r="A27" s="1">
        <v>26</v>
      </c>
      <c r="B27" s="31" t="s">
        <v>1319</v>
      </c>
      <c r="C27" s="8" t="s">
        <v>1232</v>
      </c>
      <c r="D27" s="26" t="s">
        <v>1279</v>
      </c>
      <c r="E27" s="1" t="s">
        <v>1448</v>
      </c>
      <c r="F27" s="1" t="s">
        <v>1449</v>
      </c>
      <c r="G27" s="1" t="s">
        <v>1450</v>
      </c>
      <c r="H27" s="1" t="s">
        <v>1451</v>
      </c>
      <c r="I27" s="1" t="s">
        <v>1452</v>
      </c>
    </row>
    <row r="28" spans="1:9" ht="28.8" x14ac:dyDescent="0.3">
      <c r="A28" s="1">
        <v>27</v>
      </c>
      <c r="B28" s="9" t="s">
        <v>1320</v>
      </c>
      <c r="C28" s="8" t="s">
        <v>1232</v>
      </c>
      <c r="D28" s="28" t="s">
        <v>1310</v>
      </c>
    </row>
    <row r="29" spans="1:9" x14ac:dyDescent="0.3">
      <c r="A29" s="1">
        <v>28</v>
      </c>
      <c r="B29" s="36" t="s">
        <v>1321</v>
      </c>
      <c r="C29" s="8" t="s">
        <v>1242</v>
      </c>
      <c r="D29" s="41" t="s">
        <v>1311</v>
      </c>
      <c r="E29" s="1" t="s">
        <v>1453</v>
      </c>
      <c r="F29" s="1" t="s">
        <v>1455</v>
      </c>
      <c r="G29" s="1" t="s">
        <v>1456</v>
      </c>
      <c r="H29" s="1" t="s">
        <v>1457</v>
      </c>
      <c r="I29" s="1" t="s">
        <v>1459</v>
      </c>
    </row>
    <row r="30" spans="1:9" x14ac:dyDescent="0.3">
      <c r="A30" s="1">
        <v>29</v>
      </c>
      <c r="B30" s="37"/>
      <c r="C30" s="8" t="s">
        <v>1243</v>
      </c>
      <c r="D30" s="42"/>
      <c r="E30" s="1" t="s">
        <v>1454</v>
      </c>
      <c r="F30" s="1" t="s">
        <v>1455</v>
      </c>
      <c r="G30" s="1" t="s">
        <v>1456</v>
      </c>
      <c r="H30" s="1" t="s">
        <v>1457</v>
      </c>
      <c r="I30" s="1" t="s">
        <v>1459</v>
      </c>
    </row>
    <row r="31" spans="1:9" x14ac:dyDescent="0.3">
      <c r="A31" s="1">
        <v>30</v>
      </c>
      <c r="B31" s="37"/>
      <c r="C31" s="1" t="s">
        <v>1244</v>
      </c>
      <c r="D31" s="43"/>
      <c r="E31" s="1" t="s">
        <v>1458</v>
      </c>
      <c r="F31" s="1" t="s">
        <v>1455</v>
      </c>
      <c r="G31" s="1" t="s">
        <v>1456</v>
      </c>
      <c r="H31" s="1" t="s">
        <v>1457</v>
      </c>
      <c r="I31" s="1" t="s">
        <v>1459</v>
      </c>
    </row>
    <row r="32" spans="1:9" x14ac:dyDescent="0.3">
      <c r="A32" s="1">
        <v>31</v>
      </c>
      <c r="B32" s="33" t="s">
        <v>1322</v>
      </c>
      <c r="C32" s="8" t="s">
        <v>1232</v>
      </c>
      <c r="D32" s="39" t="s">
        <v>1280</v>
      </c>
      <c r="E32" s="1" t="s">
        <v>1460</v>
      </c>
      <c r="F32" s="1" t="s">
        <v>1465</v>
      </c>
      <c r="G32" s="1" t="s">
        <v>1467</v>
      </c>
      <c r="H32" s="1" t="s">
        <v>1468</v>
      </c>
      <c r="I32" s="1" t="s">
        <v>1469</v>
      </c>
    </row>
    <row r="33" spans="1:9" x14ac:dyDescent="0.3">
      <c r="A33" s="1">
        <v>32</v>
      </c>
      <c r="B33" s="34"/>
      <c r="C33" s="8" t="s">
        <v>1233</v>
      </c>
      <c r="D33" s="39"/>
      <c r="E33" s="1" t="s">
        <v>1461</v>
      </c>
      <c r="F33" s="1" t="s">
        <v>1466</v>
      </c>
      <c r="G33" s="1" t="s">
        <v>1467</v>
      </c>
      <c r="H33" s="1" t="s">
        <v>1468</v>
      </c>
      <c r="I33" s="1" t="s">
        <v>1469</v>
      </c>
    </row>
    <row r="34" spans="1:9" x14ac:dyDescent="0.3">
      <c r="A34" s="1">
        <v>33</v>
      </c>
      <c r="B34" s="34"/>
      <c r="C34" s="8" t="s">
        <v>1234</v>
      </c>
      <c r="D34" s="39"/>
      <c r="E34" s="1" t="s">
        <v>1462</v>
      </c>
      <c r="F34" s="1" t="s">
        <v>1471</v>
      </c>
      <c r="G34" s="1" t="s">
        <v>1467</v>
      </c>
      <c r="H34" s="1" t="s">
        <v>1468</v>
      </c>
      <c r="I34" s="1" t="s">
        <v>1469</v>
      </c>
    </row>
    <row r="35" spans="1:9" x14ac:dyDescent="0.3">
      <c r="A35" s="1">
        <v>34</v>
      </c>
      <c r="B35" s="34"/>
      <c r="C35" s="8" t="s">
        <v>1235</v>
      </c>
      <c r="D35" s="39"/>
      <c r="E35" s="1" t="s">
        <v>1463</v>
      </c>
      <c r="F35" s="1" t="s">
        <v>1470</v>
      </c>
      <c r="G35" s="1" t="s">
        <v>1467</v>
      </c>
      <c r="H35" s="1" t="s">
        <v>1468</v>
      </c>
      <c r="I35" s="1" t="s">
        <v>1469</v>
      </c>
    </row>
    <row r="36" spans="1:9" x14ac:dyDescent="0.3">
      <c r="A36" s="1">
        <v>35</v>
      </c>
      <c r="B36" s="33" t="s">
        <v>1323</v>
      </c>
      <c r="C36" s="8" t="s">
        <v>1232</v>
      </c>
      <c r="D36" s="39" t="s">
        <v>1281</v>
      </c>
      <c r="E36" s="1" t="s">
        <v>1472</v>
      </c>
      <c r="F36" s="1" t="s">
        <v>1476</v>
      </c>
      <c r="G36" s="1" t="s">
        <v>1480</v>
      </c>
      <c r="H36" s="1" t="s">
        <v>1481</v>
      </c>
      <c r="I36" s="1" t="s">
        <v>1482</v>
      </c>
    </row>
    <row r="37" spans="1:9" x14ac:dyDescent="0.3">
      <c r="A37" s="1">
        <v>36</v>
      </c>
      <c r="B37" s="35"/>
      <c r="C37" s="8" t="s">
        <v>1233</v>
      </c>
      <c r="D37" s="39"/>
      <c r="E37" s="1" t="s">
        <v>1473</v>
      </c>
      <c r="F37" s="1" t="s">
        <v>1477</v>
      </c>
      <c r="G37" s="1" t="s">
        <v>1480</v>
      </c>
      <c r="H37" s="1" t="s">
        <v>1481</v>
      </c>
      <c r="I37" s="1" t="s">
        <v>1482</v>
      </c>
    </row>
    <row r="38" spans="1:9" x14ac:dyDescent="0.3">
      <c r="A38" s="1">
        <v>37</v>
      </c>
      <c r="B38" s="35"/>
      <c r="C38" s="8" t="s">
        <v>1234</v>
      </c>
      <c r="D38" s="39"/>
      <c r="E38" s="1" t="s">
        <v>1474</v>
      </c>
      <c r="F38" s="1" t="s">
        <v>1478</v>
      </c>
      <c r="G38" s="1" t="s">
        <v>1480</v>
      </c>
      <c r="H38" s="1" t="s">
        <v>1481</v>
      </c>
      <c r="I38" s="1" t="s">
        <v>1482</v>
      </c>
    </row>
    <row r="39" spans="1:9" x14ac:dyDescent="0.3">
      <c r="A39" s="1">
        <v>38</v>
      </c>
      <c r="B39" s="34"/>
      <c r="C39" s="1" t="s">
        <v>1235</v>
      </c>
      <c r="D39" s="39"/>
      <c r="E39" s="1" t="s">
        <v>1475</v>
      </c>
      <c r="F39" s="1" t="s">
        <v>1479</v>
      </c>
      <c r="G39" s="1" t="s">
        <v>1480</v>
      </c>
      <c r="H39" s="1" t="s">
        <v>1481</v>
      </c>
      <c r="I39" s="1" t="s">
        <v>1482</v>
      </c>
    </row>
    <row r="40" spans="1:9" x14ac:dyDescent="0.3">
      <c r="A40" s="1">
        <v>39</v>
      </c>
      <c r="B40" s="33" t="s">
        <v>1324</v>
      </c>
      <c r="C40" s="8" t="s">
        <v>1232</v>
      </c>
      <c r="D40" s="39" t="s">
        <v>1282</v>
      </c>
      <c r="E40" s="1" t="s">
        <v>1483</v>
      </c>
      <c r="F40" s="1" t="s">
        <v>1486</v>
      </c>
      <c r="G40" s="1" t="s">
        <v>1489</v>
      </c>
      <c r="H40" s="1" t="s">
        <v>1490</v>
      </c>
      <c r="I40" s="1" t="s">
        <v>1491</v>
      </c>
    </row>
    <row r="41" spans="1:9" x14ac:dyDescent="0.3">
      <c r="A41" s="1">
        <v>40</v>
      </c>
      <c r="B41" s="33"/>
      <c r="C41" s="8" t="s">
        <v>1233</v>
      </c>
      <c r="D41" s="39"/>
      <c r="E41" s="1" t="s">
        <v>1484</v>
      </c>
      <c r="F41" s="1" t="s">
        <v>1487</v>
      </c>
      <c r="G41" s="1" t="s">
        <v>1489</v>
      </c>
      <c r="H41" s="1" t="s">
        <v>1490</v>
      </c>
      <c r="I41" s="1" t="s">
        <v>1491</v>
      </c>
    </row>
    <row r="42" spans="1:9" x14ac:dyDescent="0.3">
      <c r="A42" s="1">
        <v>41</v>
      </c>
      <c r="B42" s="34"/>
      <c r="C42" s="1" t="s">
        <v>1234</v>
      </c>
      <c r="D42" s="39"/>
      <c r="E42" s="1" t="s">
        <v>1485</v>
      </c>
      <c r="F42" s="1" t="s">
        <v>1488</v>
      </c>
      <c r="G42" s="1" t="s">
        <v>1489</v>
      </c>
      <c r="H42" s="1" t="s">
        <v>1490</v>
      </c>
      <c r="I42" s="1" t="s">
        <v>1491</v>
      </c>
    </row>
    <row r="43" spans="1:9" x14ac:dyDescent="0.3">
      <c r="A43" s="1">
        <v>42</v>
      </c>
      <c r="B43" s="33" t="s">
        <v>1325</v>
      </c>
      <c r="C43" s="11" t="s">
        <v>1245</v>
      </c>
      <c r="D43" s="25" t="s">
        <v>1283</v>
      </c>
      <c r="E43" s="1" t="s">
        <v>1492</v>
      </c>
      <c r="F43" s="1" t="s">
        <v>1493</v>
      </c>
      <c r="G43" s="1" t="s">
        <v>1496</v>
      </c>
      <c r="H43" s="1" t="s">
        <v>1498</v>
      </c>
      <c r="I43" s="1" t="s">
        <v>1502</v>
      </c>
    </row>
    <row r="44" spans="1:9" x14ac:dyDescent="0.3">
      <c r="A44" s="1">
        <v>43</v>
      </c>
      <c r="B44" s="34"/>
      <c r="C44" s="8" t="s">
        <v>1246</v>
      </c>
      <c r="D44" s="25" t="s">
        <v>1284</v>
      </c>
      <c r="E44" s="1" t="s">
        <v>1492</v>
      </c>
      <c r="F44" s="1" t="s">
        <v>1494</v>
      </c>
      <c r="G44" s="1" t="s">
        <v>1497</v>
      </c>
      <c r="H44" s="1" t="s">
        <v>1498</v>
      </c>
      <c r="I44" s="1" t="s">
        <v>1503</v>
      </c>
    </row>
    <row r="45" spans="1:9" x14ac:dyDescent="0.3">
      <c r="A45" s="1">
        <v>44</v>
      </c>
      <c r="B45" s="34"/>
      <c r="C45" s="11" t="s">
        <v>1247</v>
      </c>
      <c r="D45" s="27" t="s">
        <v>1285</v>
      </c>
      <c r="E45" s="1" t="s">
        <v>1492</v>
      </c>
      <c r="F45" s="1" t="s">
        <v>1495</v>
      </c>
      <c r="G45" s="1" t="s">
        <v>1499</v>
      </c>
      <c r="H45" s="1" t="s">
        <v>1501</v>
      </c>
      <c r="I45" s="1" t="s">
        <v>1500</v>
      </c>
    </row>
  </sheetData>
  <mergeCells count="19">
    <mergeCell ref="D2:D7"/>
    <mergeCell ref="D12:D17"/>
    <mergeCell ref="B32:B35"/>
    <mergeCell ref="B36:B39"/>
    <mergeCell ref="B40:B42"/>
    <mergeCell ref="D18:D20"/>
    <mergeCell ref="D21:D24"/>
    <mergeCell ref="D25:D26"/>
    <mergeCell ref="D32:D35"/>
    <mergeCell ref="D36:D39"/>
    <mergeCell ref="D40:D42"/>
    <mergeCell ref="D29:D31"/>
    <mergeCell ref="B43:B45"/>
    <mergeCell ref="B2:B11"/>
    <mergeCell ref="B12:B17"/>
    <mergeCell ref="B18:B20"/>
    <mergeCell ref="B21:B24"/>
    <mergeCell ref="B25:B26"/>
    <mergeCell ref="B29:B31"/>
  </mergeCells>
  <dataValidations count="1">
    <dataValidation type="custom" showInputMessage="1" showErrorMessage="1" errorTitle="VALUE MISMATCH" error="Text length must be equal to or less than 256_x000d__x000a_Product Name will be auto-generated by Snapdeal as per below combination:_x000d__x000a_Brand;Model_s32Name;Type;&quot;-&quot;;Cable_s32Length_s32_s40in_s32metre_s41_x000d__x000a_e.g. 'ElectronicsAccessoriesCa" promptTitle="Mandatory Field" prompt="Text length must be equal to or less than 256_x000d__x000a_Product Name will be auto-generated by Snapdeal as per below combination:_x000d__x000a_Brand;Model_s32Name;Type;&quot;-&quot;;Cable_s32Length_s32_s40in_s32metre_s41_x000d__x000a_e.g. 'ElectronicsAccessoriesCables'" sqref="D12 D21 D25 D27 D32 D36 D40 D43:D45" xr:uid="{9640492C-066D-4FFF-AF7D-CAE3EC87C9B7}">
      <formula1>AND(ISBLANK(D12)=FALSE,LEN(D12)&lt;=256)</formula1>
    </dataValidation>
  </dataValidations>
  <pageMargins left="0.7" right="0.7" top="0.75" bottom="0.75" header="0.3" footer="0.3"/>
  <pageSetup paperSize="256"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3DC47-C947-4202-868F-4DC085E0C89B}">
  <dimension ref="A1:K33"/>
  <sheetViews>
    <sheetView workbookViewId="0">
      <selection activeCell="D15" sqref="D15"/>
    </sheetView>
  </sheetViews>
  <sheetFormatPr defaultColWidth="8.88671875" defaultRowHeight="14.4" x14ac:dyDescent="0.3"/>
  <cols>
    <col min="1" max="1" width="6.6640625" style="17" bestFit="1" customWidth="1"/>
    <col min="2" max="2" width="32.6640625" style="13" bestFit="1" customWidth="1"/>
    <col min="3" max="3" width="13.109375" style="22" bestFit="1" customWidth="1"/>
    <col min="4" max="4" width="123.33203125" style="19" customWidth="1"/>
    <col min="5" max="5" width="28.109375" style="19" bestFit="1" customWidth="1"/>
    <col min="6" max="6" width="109.109375" style="19" bestFit="1" customWidth="1"/>
    <col min="7" max="7" width="23.6640625" style="1" bestFit="1" customWidth="1"/>
    <col min="8" max="8" width="22.44140625" style="1" bestFit="1" customWidth="1"/>
    <col min="9" max="9" width="24.44140625" style="1" bestFit="1" customWidth="1"/>
    <col min="10" max="10" width="24" style="1" bestFit="1" customWidth="1"/>
    <col min="11" max="11" width="60.33203125" style="1" bestFit="1" customWidth="1"/>
    <col min="12" max="16384" width="8.88671875" style="1"/>
  </cols>
  <sheetData>
    <row r="1" spans="1:11" s="12" customFormat="1" x14ac:dyDescent="0.3">
      <c r="A1" s="16" t="s">
        <v>0</v>
      </c>
      <c r="B1" s="15" t="s">
        <v>1331</v>
      </c>
      <c r="C1" s="30" t="s">
        <v>1332</v>
      </c>
      <c r="D1" s="30" t="s">
        <v>1286</v>
      </c>
      <c r="E1" s="30" t="s">
        <v>1538</v>
      </c>
      <c r="F1" s="30" t="s">
        <v>1560</v>
      </c>
      <c r="G1" s="1" t="s">
        <v>1350</v>
      </c>
      <c r="H1" s="1" t="s">
        <v>1353</v>
      </c>
      <c r="I1" s="1" t="s">
        <v>1352</v>
      </c>
      <c r="J1" s="1" t="s">
        <v>1351</v>
      </c>
      <c r="K1" s="1" t="s">
        <v>1354</v>
      </c>
    </row>
    <row r="2" spans="1:11" x14ac:dyDescent="0.3">
      <c r="A2" s="17">
        <v>1</v>
      </c>
      <c r="B2" s="35" t="s">
        <v>1248</v>
      </c>
      <c r="C2" s="20" t="s">
        <v>1249</v>
      </c>
      <c r="D2" s="45" t="s">
        <v>1289</v>
      </c>
      <c r="E2" s="1" t="s">
        <v>1539</v>
      </c>
      <c r="F2" s="1" t="s">
        <v>1559</v>
      </c>
      <c r="G2" s="1" t="s">
        <v>1248</v>
      </c>
      <c r="H2" s="1" t="s">
        <v>1400</v>
      </c>
      <c r="I2" s="1" t="s">
        <v>1401</v>
      </c>
      <c r="J2" s="1" t="s">
        <v>1402</v>
      </c>
      <c r="K2" s="1" t="s">
        <v>1403</v>
      </c>
    </row>
    <row r="3" spans="1:11" x14ac:dyDescent="0.3">
      <c r="A3" s="17">
        <v>2</v>
      </c>
      <c r="B3" s="35"/>
      <c r="C3" s="20" t="s">
        <v>1250</v>
      </c>
      <c r="D3" s="45"/>
      <c r="E3" s="1" t="s">
        <v>1539</v>
      </c>
      <c r="F3" s="1" t="s">
        <v>1559</v>
      </c>
      <c r="G3" s="1" t="s">
        <v>1248</v>
      </c>
      <c r="H3" s="1" t="s">
        <v>1400</v>
      </c>
      <c r="I3" s="1" t="s">
        <v>1401</v>
      </c>
      <c r="J3" s="1" t="s">
        <v>1402</v>
      </c>
      <c r="K3" s="1" t="s">
        <v>1429</v>
      </c>
    </row>
    <row r="4" spans="1:11" x14ac:dyDescent="0.3">
      <c r="A4" s="17">
        <v>3</v>
      </c>
      <c r="B4" s="35"/>
      <c r="C4" s="20" t="s">
        <v>1251</v>
      </c>
      <c r="D4" s="45"/>
      <c r="E4" s="1" t="s">
        <v>1539</v>
      </c>
      <c r="F4" s="1" t="s">
        <v>1559</v>
      </c>
      <c r="G4" s="1" t="s">
        <v>1248</v>
      </c>
      <c r="H4" s="1" t="s">
        <v>1400</v>
      </c>
      <c r="I4" s="1" t="s">
        <v>1401</v>
      </c>
      <c r="J4" s="1" t="s">
        <v>1402</v>
      </c>
      <c r="K4" s="1" t="s">
        <v>1430</v>
      </c>
    </row>
    <row r="5" spans="1:11" x14ac:dyDescent="0.3">
      <c r="A5" s="17">
        <v>4</v>
      </c>
      <c r="B5" s="35" t="s">
        <v>1252</v>
      </c>
      <c r="C5" s="20" t="s">
        <v>1249</v>
      </c>
      <c r="D5" s="45" t="s">
        <v>1290</v>
      </c>
      <c r="E5" s="1" t="s">
        <v>1540</v>
      </c>
      <c r="F5" s="1" t="s">
        <v>1559</v>
      </c>
      <c r="G5" s="1" t="s">
        <v>1252</v>
      </c>
      <c r="H5" s="1" t="s">
        <v>1505</v>
      </c>
      <c r="I5" s="1" t="s">
        <v>1504</v>
      </c>
      <c r="J5" s="1" t="s">
        <v>1402</v>
      </c>
      <c r="K5" s="1" t="s">
        <v>1506</v>
      </c>
    </row>
    <row r="6" spans="1:11" x14ac:dyDescent="0.3">
      <c r="A6" s="17">
        <v>5</v>
      </c>
      <c r="B6" s="35"/>
      <c r="C6" s="20" t="s">
        <v>1251</v>
      </c>
      <c r="D6" s="45"/>
      <c r="E6" s="1" t="s">
        <v>1540</v>
      </c>
      <c r="F6" s="1" t="s">
        <v>1561</v>
      </c>
      <c r="G6" s="1" t="s">
        <v>1252</v>
      </c>
      <c r="H6" s="1" t="s">
        <v>1505</v>
      </c>
      <c r="I6" s="1" t="s">
        <v>1504</v>
      </c>
      <c r="J6" s="1" t="s">
        <v>1402</v>
      </c>
      <c r="K6" s="1" t="s">
        <v>1506</v>
      </c>
    </row>
    <row r="7" spans="1:11" x14ac:dyDescent="0.3">
      <c r="A7" s="17">
        <v>6</v>
      </c>
      <c r="B7" s="35"/>
      <c r="C7" s="20" t="s">
        <v>1250</v>
      </c>
      <c r="D7" s="45"/>
      <c r="E7" s="1" t="s">
        <v>1540</v>
      </c>
      <c r="F7" s="1" t="s">
        <v>1559</v>
      </c>
      <c r="G7" s="1" t="s">
        <v>1252</v>
      </c>
      <c r="H7" s="1" t="s">
        <v>1505</v>
      </c>
      <c r="I7" s="1" t="s">
        <v>1504</v>
      </c>
      <c r="J7" s="1" t="s">
        <v>1402</v>
      </c>
      <c r="K7" s="1" t="s">
        <v>1506</v>
      </c>
    </row>
    <row r="8" spans="1:11" x14ac:dyDescent="0.3">
      <c r="A8" s="17">
        <v>7</v>
      </c>
      <c r="B8" s="35"/>
      <c r="C8" s="20" t="s">
        <v>1253</v>
      </c>
      <c r="D8" s="45"/>
      <c r="E8" s="1" t="s">
        <v>1540</v>
      </c>
      <c r="F8" s="1" t="s">
        <v>1562</v>
      </c>
      <c r="G8" s="1" t="s">
        <v>1252</v>
      </c>
      <c r="H8" s="1" t="s">
        <v>1505</v>
      </c>
      <c r="I8" s="1" t="s">
        <v>1504</v>
      </c>
      <c r="J8" s="1" t="s">
        <v>1403</v>
      </c>
      <c r="K8" s="1" t="s">
        <v>1506</v>
      </c>
    </row>
    <row r="9" spans="1:11" ht="28.8" x14ac:dyDescent="0.3">
      <c r="A9" s="17">
        <v>8</v>
      </c>
      <c r="B9" s="13" t="s">
        <v>1254</v>
      </c>
      <c r="C9" s="22" t="s">
        <v>1249</v>
      </c>
      <c r="D9" s="18" t="s">
        <v>1509</v>
      </c>
      <c r="E9" s="1" t="s">
        <v>1550</v>
      </c>
      <c r="F9" s="1" t="s">
        <v>1559</v>
      </c>
      <c r="G9" s="1" t="s">
        <v>1254</v>
      </c>
      <c r="H9" s="1" t="s">
        <v>1507</v>
      </c>
      <c r="I9" s="1" t="s">
        <v>1401</v>
      </c>
      <c r="J9" s="1" t="s">
        <v>1429</v>
      </c>
      <c r="K9" s="1" t="s">
        <v>1508</v>
      </c>
    </row>
    <row r="10" spans="1:11" x14ac:dyDescent="0.3">
      <c r="A10" s="17">
        <v>9</v>
      </c>
      <c r="B10" s="7" t="s">
        <v>1255</v>
      </c>
      <c r="C10" s="20" t="s">
        <v>1251</v>
      </c>
      <c r="D10" s="18" t="s">
        <v>1291</v>
      </c>
      <c r="E10" s="1" t="s">
        <v>1548</v>
      </c>
      <c r="F10" s="1" t="s">
        <v>1561</v>
      </c>
      <c r="G10" s="1" t="s">
        <v>1255</v>
      </c>
      <c r="H10" s="1" t="s">
        <v>1510</v>
      </c>
      <c r="I10" s="1" t="s">
        <v>1401</v>
      </c>
      <c r="J10" s="1" t="s">
        <v>1511</v>
      </c>
      <c r="K10" s="1" t="s">
        <v>1430</v>
      </c>
    </row>
    <row r="11" spans="1:11" x14ac:dyDescent="0.3">
      <c r="A11" s="17">
        <v>10</v>
      </c>
      <c r="B11" s="35" t="s">
        <v>1256</v>
      </c>
      <c r="C11" s="20" t="s">
        <v>1249</v>
      </c>
      <c r="D11" s="45" t="s">
        <v>1292</v>
      </c>
      <c r="E11" s="1" t="s">
        <v>1546</v>
      </c>
      <c r="F11" s="1" t="s">
        <v>1563</v>
      </c>
      <c r="G11" s="1" t="s">
        <v>1256</v>
      </c>
      <c r="H11" s="1" t="s">
        <v>1516</v>
      </c>
      <c r="I11" s="1" t="s">
        <v>1529</v>
      </c>
      <c r="J11" s="1" t="s">
        <v>1530</v>
      </c>
      <c r="K11" s="1" t="s">
        <v>1508</v>
      </c>
    </row>
    <row r="12" spans="1:11" x14ac:dyDescent="0.3">
      <c r="A12" s="17">
        <v>11</v>
      </c>
      <c r="B12" s="35"/>
      <c r="C12" s="20" t="s">
        <v>1251</v>
      </c>
      <c r="D12" s="45"/>
      <c r="E12" s="1" t="s">
        <v>1546</v>
      </c>
      <c r="F12" s="1" t="s">
        <v>1563</v>
      </c>
      <c r="G12" s="1" t="s">
        <v>1256</v>
      </c>
      <c r="H12" s="1" t="s">
        <v>1516</v>
      </c>
      <c r="I12" s="1" t="s">
        <v>1529</v>
      </c>
      <c r="J12" s="1" t="s">
        <v>1530</v>
      </c>
      <c r="K12" s="1" t="s">
        <v>1508</v>
      </c>
    </row>
    <row r="13" spans="1:11" x14ac:dyDescent="0.3">
      <c r="A13" s="17">
        <v>12</v>
      </c>
      <c r="B13" s="7" t="s">
        <v>1257</v>
      </c>
      <c r="C13" s="20" t="s">
        <v>1251</v>
      </c>
      <c r="D13" s="18" t="s">
        <v>1293</v>
      </c>
      <c r="E13" s="1" t="s">
        <v>1547</v>
      </c>
      <c r="F13" s="1" t="s">
        <v>1561</v>
      </c>
      <c r="G13" s="1" t="s">
        <v>1257</v>
      </c>
      <c r="H13" s="1" t="s">
        <v>1517</v>
      </c>
      <c r="I13" s="1" t="s">
        <v>1529</v>
      </c>
      <c r="J13" s="1" t="s">
        <v>1530</v>
      </c>
      <c r="K13" s="1" t="s">
        <v>1508</v>
      </c>
    </row>
    <row r="14" spans="1:11" ht="28.8" x14ac:dyDescent="0.3">
      <c r="A14" s="17">
        <v>13</v>
      </c>
      <c r="B14" s="13" t="s">
        <v>1258</v>
      </c>
      <c r="C14" s="22" t="s">
        <v>1249</v>
      </c>
      <c r="D14" s="14" t="s">
        <v>1294</v>
      </c>
      <c r="E14" s="1" t="s">
        <v>1549</v>
      </c>
      <c r="F14" s="1" t="s">
        <v>1563</v>
      </c>
      <c r="G14" s="1" t="s">
        <v>1258</v>
      </c>
      <c r="H14" s="1" t="s">
        <v>1518</v>
      </c>
      <c r="I14" s="1" t="s">
        <v>1529</v>
      </c>
      <c r="J14" s="1" t="s">
        <v>1530</v>
      </c>
      <c r="K14" s="1" t="s">
        <v>1508</v>
      </c>
    </row>
    <row r="15" spans="1:11" x14ac:dyDescent="0.3">
      <c r="A15" s="17">
        <v>14</v>
      </c>
      <c r="B15" s="7" t="s">
        <v>1259</v>
      </c>
      <c r="C15" s="20" t="s">
        <v>1251</v>
      </c>
      <c r="D15" s="1" t="s">
        <v>1295</v>
      </c>
      <c r="E15" s="1" t="s">
        <v>1554</v>
      </c>
      <c r="F15" s="1" t="s">
        <v>1564</v>
      </c>
      <c r="G15" s="1" t="s">
        <v>1259</v>
      </c>
      <c r="H15" s="1" t="s">
        <v>1519</v>
      </c>
      <c r="I15" s="1" t="s">
        <v>1529</v>
      </c>
      <c r="J15" s="1" t="s">
        <v>1530</v>
      </c>
      <c r="K15" s="1" t="s">
        <v>1508</v>
      </c>
    </row>
    <row r="16" spans="1:11" ht="28.8" x14ac:dyDescent="0.3">
      <c r="A16" s="17">
        <v>15</v>
      </c>
      <c r="B16" s="7" t="s">
        <v>1260</v>
      </c>
      <c r="C16" s="20" t="s">
        <v>1249</v>
      </c>
      <c r="D16" s="14" t="s">
        <v>1296</v>
      </c>
      <c r="E16" s="1" t="s">
        <v>1545</v>
      </c>
      <c r="F16" s="1" t="s">
        <v>1565</v>
      </c>
      <c r="G16" s="1" t="s">
        <v>1260</v>
      </c>
      <c r="H16" s="1" t="s">
        <v>1520</v>
      </c>
      <c r="I16" s="1" t="s">
        <v>1529</v>
      </c>
      <c r="J16" s="1" t="s">
        <v>1530</v>
      </c>
      <c r="K16" s="1" t="s">
        <v>1508</v>
      </c>
    </row>
    <row r="17" spans="1:11" x14ac:dyDescent="0.3">
      <c r="A17" s="17">
        <v>16</v>
      </c>
      <c r="B17" s="35" t="s">
        <v>1261</v>
      </c>
      <c r="C17" s="20" t="s">
        <v>1249</v>
      </c>
      <c r="D17" s="44" t="s">
        <v>1297</v>
      </c>
      <c r="E17" s="1" t="s">
        <v>1544</v>
      </c>
      <c r="F17" s="1" t="s">
        <v>1566</v>
      </c>
      <c r="G17" s="1" t="s">
        <v>1261</v>
      </c>
      <c r="H17" s="1" t="s">
        <v>1521</v>
      </c>
      <c r="I17" s="1" t="s">
        <v>1531</v>
      </c>
      <c r="J17" s="1" t="s">
        <v>1532</v>
      </c>
      <c r="K17" s="1" t="s">
        <v>1533</v>
      </c>
    </row>
    <row r="18" spans="1:11" x14ac:dyDescent="0.3">
      <c r="A18" s="17">
        <v>17</v>
      </c>
      <c r="B18" s="35"/>
      <c r="C18" s="20" t="s">
        <v>1251</v>
      </c>
      <c r="D18" s="44"/>
      <c r="E18" s="1" t="s">
        <v>1544</v>
      </c>
      <c r="F18" s="1" t="s">
        <v>1566</v>
      </c>
      <c r="G18" s="1" t="s">
        <v>1261</v>
      </c>
      <c r="H18" s="1" t="s">
        <v>1521</v>
      </c>
      <c r="I18" s="1" t="s">
        <v>1531</v>
      </c>
      <c r="J18" s="1" t="s">
        <v>1532</v>
      </c>
      <c r="K18" s="1" t="s">
        <v>1533</v>
      </c>
    </row>
    <row r="19" spans="1:11" x14ac:dyDescent="0.3">
      <c r="A19" s="17">
        <v>18</v>
      </c>
      <c r="B19" s="46" t="s">
        <v>1262</v>
      </c>
      <c r="C19" s="20" t="s">
        <v>1249</v>
      </c>
      <c r="D19" s="44" t="s">
        <v>1299</v>
      </c>
      <c r="E19" s="1" t="s">
        <v>1551</v>
      </c>
      <c r="F19" s="1" t="s">
        <v>1567</v>
      </c>
      <c r="G19" s="1" t="s">
        <v>1262</v>
      </c>
      <c r="H19" s="1" t="s">
        <v>1522</v>
      </c>
      <c r="I19" s="1" t="s">
        <v>1534</v>
      </c>
      <c r="J19" s="1" t="s">
        <v>1533</v>
      </c>
      <c r="K19" s="1" t="s">
        <v>1508</v>
      </c>
    </row>
    <row r="20" spans="1:11" x14ac:dyDescent="0.3">
      <c r="A20" s="17">
        <v>19</v>
      </c>
      <c r="B20" s="46"/>
      <c r="C20" s="19" t="s">
        <v>1250</v>
      </c>
      <c r="D20" s="44"/>
      <c r="E20" s="1" t="s">
        <v>1557</v>
      </c>
      <c r="F20" s="1" t="s">
        <v>1567</v>
      </c>
      <c r="G20" s="1" t="s">
        <v>1262</v>
      </c>
      <c r="H20" s="1" t="s">
        <v>1522</v>
      </c>
      <c r="I20" s="1" t="s">
        <v>1534</v>
      </c>
      <c r="J20" s="1" t="s">
        <v>1533</v>
      </c>
      <c r="K20" s="1" t="s">
        <v>1508</v>
      </c>
    </row>
    <row r="21" spans="1:11" ht="28.8" x14ac:dyDescent="0.3">
      <c r="A21" s="17">
        <v>20</v>
      </c>
      <c r="B21" s="13" t="s">
        <v>1300</v>
      </c>
      <c r="C21" s="19" t="s">
        <v>1298</v>
      </c>
      <c r="D21" s="14" t="s">
        <v>1301</v>
      </c>
      <c r="E21" s="1" t="s">
        <v>1558</v>
      </c>
      <c r="F21" s="1" t="s">
        <v>1567</v>
      </c>
      <c r="G21" s="1" t="s">
        <v>1300</v>
      </c>
      <c r="H21" s="1" t="s">
        <v>1523</v>
      </c>
      <c r="I21" s="1" t="s">
        <v>1534</v>
      </c>
      <c r="J21" s="1" t="s">
        <v>1533</v>
      </c>
      <c r="K21" s="1" t="s">
        <v>1508</v>
      </c>
    </row>
    <row r="22" spans="1:11" x14ac:dyDescent="0.3">
      <c r="A22" s="17">
        <v>21</v>
      </c>
      <c r="B22" s="35" t="s">
        <v>1263</v>
      </c>
      <c r="C22" s="20" t="s">
        <v>1249</v>
      </c>
      <c r="D22" s="44" t="s">
        <v>1302</v>
      </c>
      <c r="E22" s="1" t="s">
        <v>1542</v>
      </c>
      <c r="F22" s="1" t="s">
        <v>1568</v>
      </c>
      <c r="G22" s="1" t="s">
        <v>1263</v>
      </c>
      <c r="H22" s="1" t="s">
        <v>1524</v>
      </c>
      <c r="I22" s="1" t="s">
        <v>1535</v>
      </c>
      <c r="J22" s="1" t="s">
        <v>1536</v>
      </c>
      <c r="K22" s="1" t="s">
        <v>1532</v>
      </c>
    </row>
    <row r="23" spans="1:11" x14ac:dyDescent="0.3">
      <c r="A23" s="17">
        <v>22</v>
      </c>
      <c r="B23" s="35"/>
      <c r="C23" s="20" t="s">
        <v>1250</v>
      </c>
      <c r="D23" s="44"/>
      <c r="E23" s="1" t="s">
        <v>1542</v>
      </c>
      <c r="F23" s="1" t="s">
        <v>1569</v>
      </c>
      <c r="G23" s="1" t="s">
        <v>1263</v>
      </c>
      <c r="H23" s="1" t="s">
        <v>1524</v>
      </c>
      <c r="I23" s="1" t="s">
        <v>1535</v>
      </c>
      <c r="J23" s="1" t="s">
        <v>1536</v>
      </c>
      <c r="K23" s="1" t="s">
        <v>1532</v>
      </c>
    </row>
    <row r="24" spans="1:11" x14ac:dyDescent="0.3">
      <c r="A24" s="17">
        <v>23</v>
      </c>
      <c r="B24" s="35"/>
      <c r="C24" s="20" t="s">
        <v>1251</v>
      </c>
      <c r="D24" s="44"/>
      <c r="E24" s="1" t="s">
        <v>1542</v>
      </c>
      <c r="F24" s="1" t="s">
        <v>1568</v>
      </c>
      <c r="G24" s="1" t="s">
        <v>1263</v>
      </c>
      <c r="H24" s="1" t="s">
        <v>1524</v>
      </c>
      <c r="I24" s="1" t="s">
        <v>1535</v>
      </c>
      <c r="J24" s="1" t="s">
        <v>1536</v>
      </c>
      <c r="K24" s="1" t="s">
        <v>1532</v>
      </c>
    </row>
    <row r="25" spans="1:11" x14ac:dyDescent="0.3">
      <c r="A25" s="17">
        <v>24</v>
      </c>
      <c r="B25" s="35" t="s">
        <v>1264</v>
      </c>
      <c r="C25" s="20" t="s">
        <v>1250</v>
      </c>
      <c r="D25" s="44" t="s">
        <v>1303</v>
      </c>
      <c r="E25" s="1" t="s">
        <v>1543</v>
      </c>
      <c r="F25" s="1" t="s">
        <v>1570</v>
      </c>
      <c r="G25" s="1" t="s">
        <v>1264</v>
      </c>
      <c r="H25" s="1" t="s">
        <v>1525</v>
      </c>
      <c r="I25" s="1" t="s">
        <v>1535</v>
      </c>
      <c r="J25" s="1" t="s">
        <v>1536</v>
      </c>
      <c r="K25" s="1" t="s">
        <v>1532</v>
      </c>
    </row>
    <row r="26" spans="1:11" x14ac:dyDescent="0.3">
      <c r="A26" s="17">
        <v>25</v>
      </c>
      <c r="B26" s="35"/>
      <c r="C26" s="20" t="s">
        <v>1251</v>
      </c>
      <c r="D26" s="44"/>
      <c r="E26" s="1" t="s">
        <v>1543</v>
      </c>
      <c r="F26" s="1" t="s">
        <v>1570</v>
      </c>
      <c r="G26" s="1" t="s">
        <v>1264</v>
      </c>
      <c r="H26" s="1" t="s">
        <v>1525</v>
      </c>
      <c r="I26" s="1" t="s">
        <v>1535</v>
      </c>
      <c r="J26" s="1" t="s">
        <v>1536</v>
      </c>
      <c r="K26" s="1" t="s">
        <v>1532</v>
      </c>
    </row>
    <row r="27" spans="1:11" x14ac:dyDescent="0.3">
      <c r="A27" s="17">
        <v>26</v>
      </c>
      <c r="B27" s="13" t="s">
        <v>1265</v>
      </c>
      <c r="C27" s="22" t="s">
        <v>1266</v>
      </c>
      <c r="D27" s="1" t="s">
        <v>1304</v>
      </c>
      <c r="E27" s="1" t="s">
        <v>1553</v>
      </c>
      <c r="F27" s="1" t="s">
        <v>1571</v>
      </c>
      <c r="G27" s="1" t="s">
        <v>1265</v>
      </c>
      <c r="H27" s="1" t="s">
        <v>1526</v>
      </c>
      <c r="I27" s="1" t="s">
        <v>1536</v>
      </c>
      <c r="J27" s="1" t="s">
        <v>1534</v>
      </c>
      <c r="K27" s="1" t="s">
        <v>1533</v>
      </c>
    </row>
    <row r="28" spans="1:11" x14ac:dyDescent="0.3">
      <c r="A28" s="17">
        <v>27</v>
      </c>
      <c r="B28" s="13" t="s">
        <v>1267</v>
      </c>
      <c r="C28" s="22" t="s">
        <v>1266</v>
      </c>
      <c r="D28" s="1" t="s">
        <v>1305</v>
      </c>
      <c r="E28" s="1" t="s">
        <v>1552</v>
      </c>
      <c r="F28" s="1" t="s">
        <v>1572</v>
      </c>
      <c r="G28" s="1" t="s">
        <v>1267</v>
      </c>
      <c r="H28" s="1" t="s">
        <v>1527</v>
      </c>
      <c r="I28" s="1" t="s">
        <v>1536</v>
      </c>
      <c r="J28" s="1" t="s">
        <v>1534</v>
      </c>
      <c r="K28" s="1" t="s">
        <v>1533</v>
      </c>
    </row>
    <row r="29" spans="1:11" x14ac:dyDescent="0.3">
      <c r="A29" s="17">
        <v>28</v>
      </c>
      <c r="B29" s="10" t="s">
        <v>1268</v>
      </c>
      <c r="C29" s="23" t="s">
        <v>1268</v>
      </c>
      <c r="D29" s="1" t="s">
        <v>1306</v>
      </c>
      <c r="E29" s="1" t="s">
        <v>1541</v>
      </c>
      <c r="F29" t="s">
        <v>1573</v>
      </c>
      <c r="G29" s="1" t="s">
        <v>1512</v>
      </c>
      <c r="H29" s="1" t="s">
        <v>1513</v>
      </c>
      <c r="I29" s="1" t="s">
        <v>1514</v>
      </c>
      <c r="J29" s="1" t="s">
        <v>1268</v>
      </c>
      <c r="K29" s="1" t="s">
        <v>1515</v>
      </c>
    </row>
    <row r="30" spans="1:11" x14ac:dyDescent="0.3">
      <c r="A30" s="17">
        <v>29</v>
      </c>
      <c r="B30" s="13" t="s">
        <v>1258</v>
      </c>
      <c r="C30" s="19" t="s">
        <v>1250</v>
      </c>
      <c r="D30" s="18" t="s">
        <v>1308</v>
      </c>
      <c r="E30" s="1" t="s">
        <v>1555</v>
      </c>
      <c r="F30" s="1" t="s">
        <v>1574</v>
      </c>
      <c r="G30" s="1" t="s">
        <v>1258</v>
      </c>
      <c r="H30" s="1" t="s">
        <v>1518</v>
      </c>
      <c r="I30" s="1" t="s">
        <v>1529</v>
      </c>
      <c r="J30" s="1" t="s">
        <v>1530</v>
      </c>
      <c r="K30" s="1" t="s">
        <v>1508</v>
      </c>
    </row>
    <row r="31" spans="1:11" ht="28.8" x14ac:dyDescent="0.3">
      <c r="A31" s="17">
        <v>30</v>
      </c>
      <c r="B31" s="13" t="s">
        <v>1307</v>
      </c>
      <c r="C31" s="19" t="s">
        <v>1298</v>
      </c>
      <c r="D31" s="18" t="s">
        <v>1309</v>
      </c>
      <c r="E31" s="1" t="s">
        <v>1556</v>
      </c>
      <c r="F31" s="1" t="s">
        <v>1575</v>
      </c>
      <c r="G31" s="1" t="s">
        <v>1307</v>
      </c>
      <c r="H31" s="1" t="s">
        <v>1528</v>
      </c>
      <c r="I31" s="1" t="s">
        <v>1529</v>
      </c>
      <c r="J31" s="1" t="s">
        <v>1530</v>
      </c>
      <c r="K31" s="1" t="s">
        <v>1508</v>
      </c>
    </row>
    <row r="32" spans="1:11" x14ac:dyDescent="0.3">
      <c r="B32" s="14"/>
      <c r="C32" s="19"/>
    </row>
    <row r="33" spans="2:3" x14ac:dyDescent="0.3">
      <c r="B33" s="14"/>
      <c r="C33" s="19"/>
    </row>
  </sheetData>
  <mergeCells count="14">
    <mergeCell ref="B25:B26"/>
    <mergeCell ref="B2:B4"/>
    <mergeCell ref="B5:B8"/>
    <mergeCell ref="B11:B12"/>
    <mergeCell ref="B17:B18"/>
    <mergeCell ref="B19:B20"/>
    <mergeCell ref="B22:B24"/>
    <mergeCell ref="D22:D24"/>
    <mergeCell ref="D25:D26"/>
    <mergeCell ref="D2:D4"/>
    <mergeCell ref="D5:D8"/>
    <mergeCell ref="D11:D12"/>
    <mergeCell ref="D17:D18"/>
    <mergeCell ref="D19:D20"/>
  </mergeCells>
  <dataValidations count="1">
    <dataValidation allowBlank="1" showInputMessage="1" sqref="F29" xr:uid="{2DBB53B5-B1B3-4853-9026-18A1F826C20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3C848-DB7D-4AC3-BB47-7E7B382098CD}">
  <dimension ref="A1:C9"/>
  <sheetViews>
    <sheetView workbookViewId="0">
      <selection activeCell="M8" sqref="M8"/>
    </sheetView>
  </sheetViews>
  <sheetFormatPr defaultColWidth="8.88671875" defaultRowHeight="14.4" x14ac:dyDescent="0.3"/>
  <cols>
    <col min="1" max="1" width="6.5546875" style="1" bestFit="1" customWidth="1"/>
    <col min="2" max="2" width="14.6640625" style="1" bestFit="1" customWidth="1"/>
    <col min="3" max="3" width="11.109375" style="1" bestFit="1" customWidth="1"/>
    <col min="4" max="16384" width="8.88671875" style="1"/>
  </cols>
  <sheetData>
    <row r="1" spans="1:3" x14ac:dyDescent="0.3">
      <c r="A1" s="1" t="s">
        <v>0</v>
      </c>
      <c r="B1" s="1" t="s">
        <v>1334</v>
      </c>
      <c r="C1" s="1" t="s">
        <v>1335</v>
      </c>
    </row>
    <row r="2" spans="1:3" x14ac:dyDescent="0.3">
      <c r="A2" s="1">
        <v>1</v>
      </c>
      <c r="B2" s="33" t="s">
        <v>1336</v>
      </c>
      <c r="C2" s="8" t="s">
        <v>1337</v>
      </c>
    </row>
    <row r="3" spans="1:3" x14ac:dyDescent="0.3">
      <c r="A3" s="1">
        <v>2</v>
      </c>
      <c r="B3" s="47"/>
      <c r="C3" s="8" t="s">
        <v>1338</v>
      </c>
    </row>
    <row r="4" spans="1:3" x14ac:dyDescent="0.3">
      <c r="A4" s="1">
        <v>3</v>
      </c>
      <c r="B4" s="33" t="s">
        <v>1339</v>
      </c>
      <c r="C4" s="8" t="s">
        <v>1337</v>
      </c>
    </row>
    <row r="5" spans="1:3" x14ac:dyDescent="0.3">
      <c r="A5" s="1">
        <v>4</v>
      </c>
      <c r="B5" s="47"/>
      <c r="C5" s="8" t="s">
        <v>1338</v>
      </c>
    </row>
    <row r="6" spans="1:3" x14ac:dyDescent="0.3">
      <c r="A6" s="1">
        <v>5</v>
      </c>
      <c r="B6" s="33" t="s">
        <v>1340</v>
      </c>
      <c r="C6" s="8" t="s">
        <v>1337</v>
      </c>
    </row>
    <row r="7" spans="1:3" x14ac:dyDescent="0.3">
      <c r="A7" s="1">
        <v>6</v>
      </c>
      <c r="B7" s="47"/>
      <c r="C7" s="8" t="s">
        <v>1338</v>
      </c>
    </row>
    <row r="8" spans="1:3" x14ac:dyDescent="0.3">
      <c r="A8" s="1">
        <v>7</v>
      </c>
      <c r="B8" s="33" t="s">
        <v>1341</v>
      </c>
      <c r="C8" s="8" t="s">
        <v>1337</v>
      </c>
    </row>
    <row r="9" spans="1:3" x14ac:dyDescent="0.3">
      <c r="A9" s="1">
        <v>8</v>
      </c>
      <c r="B9" s="47"/>
      <c r="C9" s="8" t="s">
        <v>1338</v>
      </c>
    </row>
  </sheetData>
  <mergeCells count="4">
    <mergeCell ref="B2:B3"/>
    <mergeCell ref="B4:B5"/>
    <mergeCell ref="B6:B7"/>
    <mergeCell ref="B8:B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CCCD5-2F0F-467D-89F6-A501728F496E}">
  <dimension ref="A1:B2"/>
  <sheetViews>
    <sheetView workbookViewId="0">
      <selection activeCell="C3" sqref="C3"/>
    </sheetView>
  </sheetViews>
  <sheetFormatPr defaultRowHeight="14.4" x14ac:dyDescent="0.3"/>
  <cols>
    <col min="2" max="2" width="11.33203125" bestFit="1" customWidth="1"/>
  </cols>
  <sheetData>
    <row r="1" spans="1:2" x14ac:dyDescent="0.3">
      <c r="A1" t="s">
        <v>0</v>
      </c>
      <c r="B1" t="s">
        <v>371</v>
      </c>
    </row>
    <row r="2" spans="1:2" x14ac:dyDescent="0.3">
      <c r="A2">
        <v>1</v>
      </c>
      <c r="B2" t="s">
        <v>1342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6"/>
  <sheetViews>
    <sheetView workbookViewId="0">
      <selection activeCell="B27" sqref="B27"/>
    </sheetView>
  </sheetViews>
  <sheetFormatPr defaultRowHeight="14.4" x14ac:dyDescent="0.3"/>
  <cols>
    <col min="2" max="2" width="97.6640625" bestFit="1" customWidth="1"/>
    <col min="3" max="4" width="15.6640625" bestFit="1" customWidth="1"/>
  </cols>
  <sheetData>
    <row r="1" spans="2:4" x14ac:dyDescent="0.3">
      <c r="B1" s="2" t="s">
        <v>75</v>
      </c>
      <c r="C1" s="2" t="s">
        <v>371</v>
      </c>
      <c r="D1" s="2" t="s">
        <v>280</v>
      </c>
    </row>
    <row r="2" spans="2:4" x14ac:dyDescent="0.3">
      <c r="B2" t="s">
        <v>76</v>
      </c>
      <c r="C2" t="s">
        <v>281</v>
      </c>
      <c r="D2" t="s">
        <v>541</v>
      </c>
    </row>
    <row r="3" spans="2:4" x14ac:dyDescent="0.3">
      <c r="B3" t="s">
        <v>77</v>
      </c>
      <c r="C3" t="s">
        <v>282</v>
      </c>
      <c r="D3" t="s">
        <v>524</v>
      </c>
    </row>
    <row r="4" spans="2:4" x14ac:dyDescent="0.3">
      <c r="B4" t="s">
        <v>78</v>
      </c>
      <c r="C4" t="s">
        <v>283</v>
      </c>
      <c r="D4" t="s">
        <v>527</v>
      </c>
    </row>
    <row r="5" spans="2:4" x14ac:dyDescent="0.3">
      <c r="B5" t="s">
        <v>79</v>
      </c>
      <c r="C5" t="s">
        <v>348</v>
      </c>
      <c r="D5" t="s">
        <v>479</v>
      </c>
    </row>
    <row r="6" spans="2:4" x14ac:dyDescent="0.3">
      <c r="B6" t="s">
        <v>80</v>
      </c>
      <c r="C6" t="s">
        <v>293</v>
      </c>
      <c r="D6" t="s">
        <v>528</v>
      </c>
    </row>
    <row r="7" spans="2:4" x14ac:dyDescent="0.3">
      <c r="B7" t="s">
        <v>81</v>
      </c>
      <c r="C7" t="s">
        <v>292</v>
      </c>
      <c r="D7" t="s">
        <v>526</v>
      </c>
    </row>
    <row r="8" spans="2:4" x14ac:dyDescent="0.3">
      <c r="B8" t="s">
        <v>82</v>
      </c>
      <c r="C8" t="s">
        <v>281</v>
      </c>
      <c r="D8" t="s">
        <v>541</v>
      </c>
    </row>
    <row r="9" spans="2:4" x14ac:dyDescent="0.3">
      <c r="B9" t="s">
        <v>83</v>
      </c>
      <c r="C9" t="s">
        <v>402</v>
      </c>
      <c r="D9" t="s">
        <v>418</v>
      </c>
    </row>
    <row r="10" spans="2:4" x14ac:dyDescent="0.3">
      <c r="B10" t="s">
        <v>82</v>
      </c>
      <c r="C10" t="s">
        <v>281</v>
      </c>
      <c r="D10" t="s">
        <v>541</v>
      </c>
    </row>
    <row r="11" spans="2:4" x14ac:dyDescent="0.3">
      <c r="B11" t="s">
        <v>84</v>
      </c>
      <c r="C11" t="s">
        <v>305</v>
      </c>
      <c r="D11" t="s">
        <v>539</v>
      </c>
    </row>
    <row r="12" spans="2:4" x14ac:dyDescent="0.3">
      <c r="B12" t="s">
        <v>85</v>
      </c>
      <c r="C12" t="s">
        <v>296</v>
      </c>
      <c r="D12" t="s">
        <v>514</v>
      </c>
    </row>
    <row r="13" spans="2:4" x14ac:dyDescent="0.3">
      <c r="B13" t="s">
        <v>86</v>
      </c>
      <c r="C13" t="s">
        <v>318</v>
      </c>
      <c r="D13" t="s">
        <v>525</v>
      </c>
    </row>
    <row r="14" spans="2:4" x14ac:dyDescent="0.3">
      <c r="B14" t="s">
        <v>87</v>
      </c>
      <c r="C14" t="s">
        <v>380</v>
      </c>
      <c r="D14" t="s">
        <v>415</v>
      </c>
    </row>
    <row r="15" spans="2:4" x14ac:dyDescent="0.3">
      <c r="B15" t="s">
        <v>88</v>
      </c>
      <c r="C15" t="s">
        <v>374</v>
      </c>
      <c r="D15" t="s">
        <v>403</v>
      </c>
    </row>
    <row r="16" spans="2:4" x14ac:dyDescent="0.3">
      <c r="B16" t="s">
        <v>89</v>
      </c>
      <c r="C16" t="s">
        <v>373</v>
      </c>
      <c r="D16" t="s">
        <v>406</v>
      </c>
    </row>
    <row r="17" spans="2:4" x14ac:dyDescent="0.3">
      <c r="B17" t="s">
        <v>90</v>
      </c>
      <c r="C17" t="s">
        <v>373</v>
      </c>
      <c r="D17" t="s">
        <v>406</v>
      </c>
    </row>
    <row r="18" spans="2:4" x14ac:dyDescent="0.3">
      <c r="B18" t="s">
        <v>91</v>
      </c>
      <c r="C18" t="s">
        <v>373</v>
      </c>
      <c r="D18" t="s">
        <v>406</v>
      </c>
    </row>
    <row r="19" spans="2:4" x14ac:dyDescent="0.3">
      <c r="B19" t="s">
        <v>92</v>
      </c>
      <c r="C19" t="s">
        <v>377</v>
      </c>
      <c r="D19" t="s">
        <v>416</v>
      </c>
    </row>
    <row r="20" spans="2:4" x14ac:dyDescent="0.3">
      <c r="B20" t="s">
        <v>93</v>
      </c>
      <c r="C20" t="s">
        <v>284</v>
      </c>
      <c r="D20" t="s">
        <v>475</v>
      </c>
    </row>
    <row r="21" spans="2:4" x14ac:dyDescent="0.3">
      <c r="B21" t="s">
        <v>94</v>
      </c>
      <c r="C21" t="s">
        <v>284</v>
      </c>
      <c r="D21" t="s">
        <v>475</v>
      </c>
    </row>
    <row r="22" spans="2:4" x14ac:dyDescent="0.3">
      <c r="B22" t="s">
        <v>94</v>
      </c>
      <c r="C22" t="s">
        <v>284</v>
      </c>
      <c r="D22" t="s">
        <v>475</v>
      </c>
    </row>
    <row r="23" spans="2:4" x14ac:dyDescent="0.3">
      <c r="B23" t="s">
        <v>95</v>
      </c>
      <c r="C23" t="s">
        <v>285</v>
      </c>
      <c r="D23" t="s">
        <v>476</v>
      </c>
    </row>
    <row r="24" spans="2:4" x14ac:dyDescent="0.3">
      <c r="B24" t="s">
        <v>95</v>
      </c>
      <c r="C24" t="s">
        <v>285</v>
      </c>
      <c r="D24" t="s">
        <v>476</v>
      </c>
    </row>
    <row r="25" spans="2:4" x14ac:dyDescent="0.3">
      <c r="B25" t="s">
        <v>96</v>
      </c>
      <c r="C25" t="s">
        <v>374</v>
      </c>
      <c r="D25" t="s">
        <v>403</v>
      </c>
    </row>
    <row r="26" spans="2:4" x14ac:dyDescent="0.3">
      <c r="B26" t="s">
        <v>95</v>
      </c>
      <c r="C26" t="s">
        <v>285</v>
      </c>
      <c r="D26" t="s">
        <v>476</v>
      </c>
    </row>
    <row r="27" spans="2:4" x14ac:dyDescent="0.3">
      <c r="B27" t="s">
        <v>92</v>
      </c>
      <c r="C27" s="1" t="s">
        <v>377</v>
      </c>
      <c r="D27" t="s">
        <v>416</v>
      </c>
    </row>
    <row r="28" spans="2:4" x14ac:dyDescent="0.3">
      <c r="B28" t="s">
        <v>97</v>
      </c>
      <c r="C28" t="s">
        <v>286</v>
      </c>
      <c r="D28" t="s">
        <v>481</v>
      </c>
    </row>
    <row r="29" spans="2:4" x14ac:dyDescent="0.3">
      <c r="B29" t="s">
        <v>98</v>
      </c>
      <c r="C29" t="s">
        <v>286</v>
      </c>
      <c r="D29" t="s">
        <v>481</v>
      </c>
    </row>
    <row r="30" spans="2:4" x14ac:dyDescent="0.3">
      <c r="B30" t="s">
        <v>99</v>
      </c>
      <c r="C30" t="s">
        <v>287</v>
      </c>
      <c r="D30" t="s">
        <v>477</v>
      </c>
    </row>
    <row r="31" spans="2:4" x14ac:dyDescent="0.3">
      <c r="B31" t="s">
        <v>100</v>
      </c>
      <c r="C31" t="s">
        <v>288</v>
      </c>
      <c r="D31" s="1" t="s">
        <v>420</v>
      </c>
    </row>
    <row r="32" spans="2:4" x14ac:dyDescent="0.3">
      <c r="B32" t="s">
        <v>101</v>
      </c>
      <c r="C32" t="s">
        <v>289</v>
      </c>
      <c r="D32" t="s">
        <v>494</v>
      </c>
    </row>
    <row r="33" spans="2:4" x14ac:dyDescent="0.3">
      <c r="B33" t="s">
        <v>102</v>
      </c>
      <c r="C33" t="s">
        <v>289</v>
      </c>
      <c r="D33" t="s">
        <v>494</v>
      </c>
    </row>
    <row r="34" spans="2:4" x14ac:dyDescent="0.3">
      <c r="B34" t="s">
        <v>103</v>
      </c>
      <c r="C34" t="s">
        <v>421</v>
      </c>
      <c r="D34" t="s">
        <v>400</v>
      </c>
    </row>
    <row r="35" spans="2:4" x14ac:dyDescent="0.3">
      <c r="B35" t="s">
        <v>104</v>
      </c>
      <c r="C35" t="s">
        <v>290</v>
      </c>
      <c r="D35" t="s">
        <v>493</v>
      </c>
    </row>
    <row r="36" spans="2:4" x14ac:dyDescent="0.3">
      <c r="B36" t="s">
        <v>105</v>
      </c>
      <c r="C36" t="s">
        <v>291</v>
      </c>
      <c r="D36" t="s">
        <v>506</v>
      </c>
    </row>
    <row r="37" spans="2:4" x14ac:dyDescent="0.3">
      <c r="B37" t="s">
        <v>106</v>
      </c>
      <c r="C37" t="s">
        <v>375</v>
      </c>
      <c r="D37" t="s">
        <v>409</v>
      </c>
    </row>
    <row r="38" spans="2:4" x14ac:dyDescent="0.3">
      <c r="B38" t="s">
        <v>81</v>
      </c>
      <c r="C38" t="s">
        <v>292</v>
      </c>
      <c r="D38" t="s">
        <v>526</v>
      </c>
    </row>
    <row r="39" spans="2:4" x14ac:dyDescent="0.3">
      <c r="B39" t="s">
        <v>107</v>
      </c>
      <c r="C39" t="s">
        <v>292</v>
      </c>
      <c r="D39" t="s">
        <v>526</v>
      </c>
    </row>
    <row r="40" spans="2:4" x14ac:dyDescent="0.3">
      <c r="B40" t="s">
        <v>81</v>
      </c>
      <c r="C40" t="s">
        <v>292</v>
      </c>
      <c r="D40" t="s">
        <v>526</v>
      </c>
    </row>
    <row r="41" spans="2:4" x14ac:dyDescent="0.3">
      <c r="B41" t="s">
        <v>107</v>
      </c>
      <c r="C41" t="s">
        <v>292</v>
      </c>
      <c r="D41" t="s">
        <v>526</v>
      </c>
    </row>
    <row r="42" spans="2:4" x14ac:dyDescent="0.3">
      <c r="B42" t="s">
        <v>108</v>
      </c>
      <c r="C42" t="s">
        <v>293</v>
      </c>
      <c r="D42" t="s">
        <v>528</v>
      </c>
    </row>
    <row r="43" spans="2:4" x14ac:dyDescent="0.3">
      <c r="B43" t="s">
        <v>109</v>
      </c>
      <c r="C43" t="s">
        <v>294</v>
      </c>
      <c r="D43" t="s">
        <v>515</v>
      </c>
    </row>
    <row r="44" spans="2:4" x14ac:dyDescent="0.3">
      <c r="B44" t="s">
        <v>110</v>
      </c>
      <c r="C44" t="s">
        <v>294</v>
      </c>
      <c r="D44" t="s">
        <v>515</v>
      </c>
    </row>
    <row r="45" spans="2:4" x14ac:dyDescent="0.3">
      <c r="B45" t="s">
        <v>111</v>
      </c>
      <c r="C45" t="s">
        <v>295</v>
      </c>
      <c r="D45" t="s">
        <v>516</v>
      </c>
    </row>
    <row r="46" spans="2:4" x14ac:dyDescent="0.3">
      <c r="B46" t="s">
        <v>112</v>
      </c>
      <c r="C46" t="s">
        <v>296</v>
      </c>
      <c r="D46" t="s">
        <v>514</v>
      </c>
    </row>
    <row r="47" spans="2:4" x14ac:dyDescent="0.3">
      <c r="B47" t="s">
        <v>113</v>
      </c>
      <c r="C47" t="s">
        <v>297</v>
      </c>
      <c r="D47" t="s">
        <v>543</v>
      </c>
    </row>
    <row r="48" spans="2:4" x14ac:dyDescent="0.3">
      <c r="B48" t="s">
        <v>114</v>
      </c>
      <c r="C48" t="s">
        <v>376</v>
      </c>
      <c r="D48" t="s">
        <v>407</v>
      </c>
    </row>
    <row r="49" spans="2:4" x14ac:dyDescent="0.3">
      <c r="B49" t="s">
        <v>115</v>
      </c>
      <c r="C49" t="s">
        <v>297</v>
      </c>
      <c r="D49" t="s">
        <v>543</v>
      </c>
    </row>
    <row r="50" spans="2:4" x14ac:dyDescent="0.3">
      <c r="B50" t="s">
        <v>116</v>
      </c>
      <c r="C50" t="s">
        <v>298</v>
      </c>
      <c r="D50" t="s">
        <v>542</v>
      </c>
    </row>
    <row r="51" spans="2:4" x14ac:dyDescent="0.3">
      <c r="B51" t="s">
        <v>117</v>
      </c>
      <c r="C51" t="s">
        <v>349</v>
      </c>
      <c r="D51" t="s">
        <v>547</v>
      </c>
    </row>
    <row r="52" spans="2:4" x14ac:dyDescent="0.3">
      <c r="B52" t="s">
        <v>118</v>
      </c>
      <c r="C52" t="s">
        <v>349</v>
      </c>
      <c r="D52" t="s">
        <v>547</v>
      </c>
    </row>
    <row r="53" spans="2:4" x14ac:dyDescent="0.3">
      <c r="B53" t="s">
        <v>119</v>
      </c>
      <c r="C53" t="s">
        <v>326</v>
      </c>
      <c r="D53" t="s">
        <v>550</v>
      </c>
    </row>
    <row r="54" spans="2:4" x14ac:dyDescent="0.3">
      <c r="B54" t="s">
        <v>76</v>
      </c>
      <c r="C54" t="s">
        <v>281</v>
      </c>
      <c r="D54" t="s">
        <v>541</v>
      </c>
    </row>
    <row r="55" spans="2:4" x14ac:dyDescent="0.3">
      <c r="B55" t="s">
        <v>108</v>
      </c>
      <c r="C55" t="s">
        <v>293</v>
      </c>
      <c r="D55" t="s">
        <v>528</v>
      </c>
    </row>
    <row r="56" spans="2:4" x14ac:dyDescent="0.3">
      <c r="B56" t="s">
        <v>111</v>
      </c>
      <c r="C56" t="s">
        <v>295</v>
      </c>
      <c r="D56" t="s">
        <v>516</v>
      </c>
    </row>
    <row r="57" spans="2:4" x14ac:dyDescent="0.3">
      <c r="B57" t="s">
        <v>120</v>
      </c>
      <c r="C57" t="s">
        <v>299</v>
      </c>
      <c r="D57" s="1" t="s">
        <v>517</v>
      </c>
    </row>
    <row r="58" spans="2:4" x14ac:dyDescent="0.3">
      <c r="B58" t="s">
        <v>121</v>
      </c>
      <c r="C58" t="s">
        <v>300</v>
      </c>
      <c r="D58" s="1" t="s">
        <v>518</v>
      </c>
    </row>
    <row r="59" spans="2:4" x14ac:dyDescent="0.3">
      <c r="B59" t="s">
        <v>114</v>
      </c>
      <c r="C59" t="s">
        <v>376</v>
      </c>
      <c r="D59" t="s">
        <v>407</v>
      </c>
    </row>
    <row r="60" spans="2:4" x14ac:dyDescent="0.3">
      <c r="B60" t="s">
        <v>122</v>
      </c>
      <c r="C60" t="s">
        <v>350</v>
      </c>
      <c r="D60" t="s">
        <v>519</v>
      </c>
    </row>
    <row r="61" spans="2:4" x14ac:dyDescent="0.3">
      <c r="B61" t="s">
        <v>123</v>
      </c>
      <c r="C61" t="s">
        <v>315</v>
      </c>
      <c r="D61" t="s">
        <v>520</v>
      </c>
    </row>
    <row r="62" spans="2:4" x14ac:dyDescent="0.3">
      <c r="B62" t="s">
        <v>124</v>
      </c>
      <c r="C62" t="s">
        <v>317</v>
      </c>
      <c r="D62" t="s">
        <v>521</v>
      </c>
    </row>
    <row r="63" spans="2:4" x14ac:dyDescent="0.3">
      <c r="B63" t="s">
        <v>81</v>
      </c>
      <c r="C63" t="s">
        <v>292</v>
      </c>
      <c r="D63" t="s">
        <v>526</v>
      </c>
    </row>
    <row r="64" spans="2:4" x14ac:dyDescent="0.3">
      <c r="B64" t="s">
        <v>81</v>
      </c>
      <c r="C64" t="s">
        <v>292</v>
      </c>
      <c r="D64" t="s">
        <v>526</v>
      </c>
    </row>
    <row r="65" spans="2:4" x14ac:dyDescent="0.3">
      <c r="B65" t="s">
        <v>125</v>
      </c>
      <c r="C65" t="s">
        <v>378</v>
      </c>
      <c r="D65" t="s">
        <v>405</v>
      </c>
    </row>
    <row r="66" spans="2:4" x14ac:dyDescent="0.3">
      <c r="B66" t="s">
        <v>126</v>
      </c>
      <c r="C66" t="s">
        <v>380</v>
      </c>
      <c r="D66" t="s">
        <v>415</v>
      </c>
    </row>
    <row r="67" spans="2:4" x14ac:dyDescent="0.3">
      <c r="B67" t="s">
        <v>115</v>
      </c>
      <c r="C67" t="s">
        <v>297</v>
      </c>
      <c r="D67" t="s">
        <v>543</v>
      </c>
    </row>
    <row r="68" spans="2:4" x14ac:dyDescent="0.3">
      <c r="B68" t="s">
        <v>127</v>
      </c>
      <c r="C68" t="s">
        <v>298</v>
      </c>
      <c r="D68" t="s">
        <v>542</v>
      </c>
    </row>
    <row r="69" spans="2:4" x14ac:dyDescent="0.3">
      <c r="B69" t="s">
        <v>128</v>
      </c>
      <c r="C69" t="s">
        <v>282</v>
      </c>
      <c r="D69" t="s">
        <v>524</v>
      </c>
    </row>
    <row r="70" spans="2:4" x14ac:dyDescent="0.3">
      <c r="B70" t="s">
        <v>129</v>
      </c>
      <c r="C70" t="s">
        <v>293</v>
      </c>
      <c r="D70" t="s">
        <v>528</v>
      </c>
    </row>
    <row r="71" spans="2:4" x14ac:dyDescent="0.3">
      <c r="B71" t="s">
        <v>109</v>
      </c>
      <c r="C71" t="s">
        <v>294</v>
      </c>
      <c r="D71" t="s">
        <v>515</v>
      </c>
    </row>
    <row r="72" spans="2:4" x14ac:dyDescent="0.3">
      <c r="B72" t="s">
        <v>118</v>
      </c>
      <c r="C72" t="s">
        <v>349</v>
      </c>
      <c r="D72" t="s">
        <v>547</v>
      </c>
    </row>
    <row r="73" spans="2:4" x14ac:dyDescent="0.3">
      <c r="B73" t="s">
        <v>130</v>
      </c>
      <c r="C73" t="s">
        <v>330</v>
      </c>
      <c r="D73" t="s">
        <v>540</v>
      </c>
    </row>
    <row r="74" spans="2:4" x14ac:dyDescent="0.3">
      <c r="B74" t="s">
        <v>131</v>
      </c>
      <c r="C74" t="s">
        <v>351</v>
      </c>
      <c r="D74" t="s">
        <v>553</v>
      </c>
    </row>
    <row r="75" spans="2:4" x14ac:dyDescent="0.3">
      <c r="B75" t="s">
        <v>124</v>
      </c>
      <c r="C75" t="s">
        <v>317</v>
      </c>
      <c r="D75" t="s">
        <v>521</v>
      </c>
    </row>
    <row r="76" spans="2:4" x14ac:dyDescent="0.3">
      <c r="B76" t="s">
        <v>81</v>
      </c>
      <c r="C76" t="s">
        <v>292</v>
      </c>
      <c r="D76" t="s">
        <v>526</v>
      </c>
    </row>
    <row r="77" spans="2:4" x14ac:dyDescent="0.3">
      <c r="B77" t="s">
        <v>132</v>
      </c>
      <c r="C77" t="s">
        <v>335</v>
      </c>
      <c r="D77" t="s">
        <v>552</v>
      </c>
    </row>
    <row r="78" spans="2:4" x14ac:dyDescent="0.3">
      <c r="B78" t="s">
        <v>133</v>
      </c>
      <c r="C78" t="s">
        <v>301</v>
      </c>
      <c r="D78" t="s">
        <v>551</v>
      </c>
    </row>
    <row r="79" spans="2:4" x14ac:dyDescent="0.3">
      <c r="B79" t="s">
        <v>134</v>
      </c>
      <c r="C79" t="s">
        <v>319</v>
      </c>
      <c r="D79" t="s">
        <v>530</v>
      </c>
    </row>
    <row r="80" spans="2:4" x14ac:dyDescent="0.3">
      <c r="B80" t="s">
        <v>112</v>
      </c>
      <c r="C80" t="s">
        <v>296</v>
      </c>
      <c r="D80" t="s">
        <v>514</v>
      </c>
    </row>
    <row r="81" spans="2:4" x14ac:dyDescent="0.3">
      <c r="B81" t="s">
        <v>135</v>
      </c>
      <c r="C81" t="s">
        <v>301</v>
      </c>
      <c r="D81" t="s">
        <v>551</v>
      </c>
    </row>
    <row r="82" spans="2:4" x14ac:dyDescent="0.3">
      <c r="B82" t="s">
        <v>136</v>
      </c>
      <c r="C82" s="1" t="s">
        <v>315</v>
      </c>
      <c r="D82" t="s">
        <v>520</v>
      </c>
    </row>
    <row r="83" spans="2:4" x14ac:dyDescent="0.3">
      <c r="B83" t="s">
        <v>137</v>
      </c>
      <c r="C83" t="s">
        <v>317</v>
      </c>
      <c r="D83" t="s">
        <v>521</v>
      </c>
    </row>
    <row r="84" spans="2:4" x14ac:dyDescent="0.3">
      <c r="B84" t="s">
        <v>138</v>
      </c>
      <c r="C84" t="s">
        <v>302</v>
      </c>
      <c r="D84" t="s">
        <v>537</v>
      </c>
    </row>
    <row r="85" spans="2:4" x14ac:dyDescent="0.3">
      <c r="B85" t="s">
        <v>127</v>
      </c>
      <c r="C85" t="s">
        <v>298</v>
      </c>
      <c r="D85" t="s">
        <v>542</v>
      </c>
    </row>
    <row r="86" spans="2:4" x14ac:dyDescent="0.3">
      <c r="B86" t="s">
        <v>139</v>
      </c>
      <c r="C86" t="s">
        <v>350</v>
      </c>
      <c r="D86" t="s">
        <v>519</v>
      </c>
    </row>
    <row r="87" spans="2:4" x14ac:dyDescent="0.3">
      <c r="B87" t="s">
        <v>140</v>
      </c>
      <c r="C87" t="s">
        <v>281</v>
      </c>
      <c r="D87" t="s">
        <v>541</v>
      </c>
    </row>
    <row r="88" spans="2:4" x14ac:dyDescent="0.3">
      <c r="B88" t="s">
        <v>124</v>
      </c>
      <c r="C88" t="s">
        <v>317</v>
      </c>
      <c r="D88" t="s">
        <v>521</v>
      </c>
    </row>
    <row r="89" spans="2:4" x14ac:dyDescent="0.3">
      <c r="B89" t="s">
        <v>115</v>
      </c>
      <c r="C89" t="s">
        <v>297</v>
      </c>
      <c r="D89" t="s">
        <v>543</v>
      </c>
    </row>
    <row r="90" spans="2:4" x14ac:dyDescent="0.3">
      <c r="B90" t="s">
        <v>119</v>
      </c>
      <c r="C90" t="s">
        <v>326</v>
      </c>
      <c r="D90" t="s">
        <v>550</v>
      </c>
    </row>
    <row r="91" spans="2:4" x14ac:dyDescent="0.3">
      <c r="B91" t="s">
        <v>140</v>
      </c>
      <c r="C91" t="s">
        <v>281</v>
      </c>
      <c r="D91" t="s">
        <v>541</v>
      </c>
    </row>
    <row r="92" spans="2:4" x14ac:dyDescent="0.3">
      <c r="B92" t="s">
        <v>119</v>
      </c>
      <c r="C92" t="s">
        <v>326</v>
      </c>
      <c r="D92" t="s">
        <v>550</v>
      </c>
    </row>
    <row r="93" spans="2:4" x14ac:dyDescent="0.3">
      <c r="B93" t="s">
        <v>141</v>
      </c>
      <c r="C93" t="s">
        <v>303</v>
      </c>
      <c r="D93" t="s">
        <v>545</v>
      </c>
    </row>
    <row r="94" spans="2:4" x14ac:dyDescent="0.3">
      <c r="B94" t="s">
        <v>142</v>
      </c>
      <c r="C94" t="s">
        <v>352</v>
      </c>
      <c r="D94" t="s">
        <v>544</v>
      </c>
    </row>
    <row r="95" spans="2:4" x14ac:dyDescent="0.3">
      <c r="B95" t="s">
        <v>143</v>
      </c>
      <c r="C95" t="s">
        <v>349</v>
      </c>
      <c r="D95" t="s">
        <v>547</v>
      </c>
    </row>
    <row r="96" spans="2:4" x14ac:dyDescent="0.3">
      <c r="B96" t="s">
        <v>123</v>
      </c>
      <c r="C96" t="s">
        <v>315</v>
      </c>
      <c r="D96" t="s">
        <v>520</v>
      </c>
    </row>
    <row r="97" spans="2:4" x14ac:dyDescent="0.3">
      <c r="B97" t="s">
        <v>115</v>
      </c>
      <c r="C97" t="s">
        <v>297</v>
      </c>
      <c r="D97" t="s">
        <v>543</v>
      </c>
    </row>
    <row r="98" spans="2:4" x14ac:dyDescent="0.3">
      <c r="B98" t="s">
        <v>144</v>
      </c>
      <c r="C98" t="s">
        <v>353</v>
      </c>
      <c r="D98" t="s">
        <v>549</v>
      </c>
    </row>
    <row r="99" spans="2:4" x14ac:dyDescent="0.3">
      <c r="B99" t="s">
        <v>145</v>
      </c>
      <c r="C99" t="s">
        <v>295</v>
      </c>
      <c r="D99" t="s">
        <v>516</v>
      </c>
    </row>
    <row r="100" spans="2:4" x14ac:dyDescent="0.3">
      <c r="B100" t="s">
        <v>81</v>
      </c>
      <c r="C100" t="s">
        <v>292</v>
      </c>
      <c r="D100" t="s">
        <v>526</v>
      </c>
    </row>
    <row r="101" spans="2:4" x14ac:dyDescent="0.3">
      <c r="B101" t="s">
        <v>146</v>
      </c>
      <c r="C101" t="s">
        <v>304</v>
      </c>
      <c r="D101" t="s">
        <v>529</v>
      </c>
    </row>
    <row r="102" spans="2:4" x14ac:dyDescent="0.3">
      <c r="B102" t="s">
        <v>147</v>
      </c>
      <c r="C102" t="s">
        <v>304</v>
      </c>
      <c r="D102" t="s">
        <v>529</v>
      </c>
    </row>
    <row r="103" spans="2:4" x14ac:dyDescent="0.3">
      <c r="B103" t="s">
        <v>123</v>
      </c>
      <c r="C103" t="s">
        <v>315</v>
      </c>
      <c r="D103" t="s">
        <v>520</v>
      </c>
    </row>
    <row r="104" spans="2:4" x14ac:dyDescent="0.3">
      <c r="B104" t="s">
        <v>115</v>
      </c>
      <c r="C104" t="s">
        <v>297</v>
      </c>
      <c r="D104" t="s">
        <v>543</v>
      </c>
    </row>
    <row r="105" spans="2:4" x14ac:dyDescent="0.3">
      <c r="B105" t="s">
        <v>148</v>
      </c>
      <c r="C105" t="s">
        <v>305</v>
      </c>
      <c r="D105" t="s">
        <v>539</v>
      </c>
    </row>
    <row r="106" spans="2:4" x14ac:dyDescent="0.3">
      <c r="B106" t="s">
        <v>140</v>
      </c>
      <c r="C106" t="s">
        <v>281</v>
      </c>
      <c r="D106" t="s">
        <v>541</v>
      </c>
    </row>
    <row r="107" spans="2:4" x14ac:dyDescent="0.3">
      <c r="B107" t="s">
        <v>149</v>
      </c>
      <c r="C107" t="s">
        <v>423</v>
      </c>
      <c r="D107" t="s">
        <v>492</v>
      </c>
    </row>
    <row r="108" spans="2:4" x14ac:dyDescent="0.3">
      <c r="B108" t="s">
        <v>150</v>
      </c>
      <c r="C108" t="s">
        <v>347</v>
      </c>
      <c r="D108" t="s">
        <v>424</v>
      </c>
    </row>
    <row r="109" spans="2:4" x14ac:dyDescent="0.3">
      <c r="B109" t="s">
        <v>151</v>
      </c>
      <c r="C109" t="s">
        <v>425</v>
      </c>
      <c r="D109" t="s">
        <v>485</v>
      </c>
    </row>
    <row r="110" spans="2:4" x14ac:dyDescent="0.3">
      <c r="B110" t="s">
        <v>152</v>
      </c>
      <c r="C110" t="s">
        <v>289</v>
      </c>
      <c r="D110" t="s">
        <v>494</v>
      </c>
    </row>
    <row r="111" spans="2:4" x14ac:dyDescent="0.3">
      <c r="B111" t="s">
        <v>102</v>
      </c>
      <c r="C111" t="s">
        <v>289</v>
      </c>
      <c r="D111" t="s">
        <v>494</v>
      </c>
    </row>
    <row r="112" spans="2:4" x14ac:dyDescent="0.3">
      <c r="B112" t="s">
        <v>152</v>
      </c>
      <c r="C112" t="s">
        <v>289</v>
      </c>
      <c r="D112" t="s">
        <v>494</v>
      </c>
    </row>
    <row r="113" spans="2:4" x14ac:dyDescent="0.3">
      <c r="B113" t="s">
        <v>104</v>
      </c>
      <c r="C113" t="s">
        <v>290</v>
      </c>
      <c r="D113" t="s">
        <v>493</v>
      </c>
    </row>
    <row r="114" spans="2:4" x14ac:dyDescent="0.3">
      <c r="B114" t="s">
        <v>153</v>
      </c>
      <c r="C114" t="s">
        <v>295</v>
      </c>
      <c r="D114" t="s">
        <v>516</v>
      </c>
    </row>
    <row r="115" spans="2:4" x14ac:dyDescent="0.3">
      <c r="B115" t="s">
        <v>154</v>
      </c>
      <c r="C115" t="s">
        <v>306</v>
      </c>
      <c r="D115" t="s">
        <v>480</v>
      </c>
    </row>
    <row r="116" spans="2:4" x14ac:dyDescent="0.3">
      <c r="B116" t="s">
        <v>97</v>
      </c>
      <c r="C116" t="s">
        <v>286</v>
      </c>
      <c r="D116" t="s">
        <v>481</v>
      </c>
    </row>
    <row r="117" spans="2:4" x14ac:dyDescent="0.3">
      <c r="B117" t="s">
        <v>155</v>
      </c>
      <c r="C117" t="s">
        <v>307</v>
      </c>
      <c r="D117" t="s">
        <v>489</v>
      </c>
    </row>
    <row r="118" spans="2:4" x14ac:dyDescent="0.3">
      <c r="B118" t="s">
        <v>156</v>
      </c>
      <c r="C118" t="s">
        <v>284</v>
      </c>
      <c r="D118" t="s">
        <v>475</v>
      </c>
    </row>
    <row r="119" spans="2:4" x14ac:dyDescent="0.3">
      <c r="B119" t="s">
        <v>157</v>
      </c>
      <c r="C119" t="s">
        <v>354</v>
      </c>
      <c r="D119" t="s">
        <v>483</v>
      </c>
    </row>
    <row r="120" spans="2:4" x14ac:dyDescent="0.3">
      <c r="B120" t="s">
        <v>158</v>
      </c>
      <c r="C120" t="s">
        <v>372</v>
      </c>
      <c r="D120" t="s">
        <v>503</v>
      </c>
    </row>
    <row r="121" spans="2:4" x14ac:dyDescent="0.3">
      <c r="B121" t="s">
        <v>159</v>
      </c>
      <c r="C121" t="s">
        <v>305</v>
      </c>
      <c r="D121" t="s">
        <v>539</v>
      </c>
    </row>
    <row r="122" spans="2:4" x14ac:dyDescent="0.3">
      <c r="B122" t="s">
        <v>160</v>
      </c>
      <c r="C122" t="s">
        <v>327</v>
      </c>
      <c r="D122" t="s">
        <v>548</v>
      </c>
    </row>
    <row r="123" spans="2:4" x14ac:dyDescent="0.3">
      <c r="B123" t="s">
        <v>140</v>
      </c>
      <c r="C123" t="s">
        <v>281</v>
      </c>
      <c r="D123" t="s">
        <v>541</v>
      </c>
    </row>
    <row r="124" spans="2:4" x14ac:dyDescent="0.3">
      <c r="B124" t="s">
        <v>123</v>
      </c>
      <c r="C124" t="s">
        <v>315</v>
      </c>
      <c r="D124" t="s">
        <v>520</v>
      </c>
    </row>
    <row r="125" spans="2:4" x14ac:dyDescent="0.3">
      <c r="B125" t="s">
        <v>134</v>
      </c>
      <c r="C125" t="s">
        <v>319</v>
      </c>
      <c r="D125" t="s">
        <v>530</v>
      </c>
    </row>
    <row r="126" spans="2:4" x14ac:dyDescent="0.3">
      <c r="B126" t="s">
        <v>146</v>
      </c>
      <c r="C126" t="s">
        <v>304</v>
      </c>
      <c r="D126" t="s">
        <v>529</v>
      </c>
    </row>
    <row r="127" spans="2:4" x14ac:dyDescent="0.3">
      <c r="B127" t="s">
        <v>146</v>
      </c>
      <c r="C127" t="s">
        <v>304</v>
      </c>
      <c r="D127" t="s">
        <v>529</v>
      </c>
    </row>
    <row r="128" spans="2:4" x14ac:dyDescent="0.3">
      <c r="B128" t="s">
        <v>81</v>
      </c>
      <c r="C128" t="s">
        <v>292</v>
      </c>
      <c r="D128" t="s">
        <v>526</v>
      </c>
    </row>
    <row r="129" spans="2:4" x14ac:dyDescent="0.3">
      <c r="B129" t="s">
        <v>81</v>
      </c>
      <c r="C129" t="s">
        <v>292</v>
      </c>
      <c r="D129" t="s">
        <v>526</v>
      </c>
    </row>
    <row r="130" spans="2:4" x14ac:dyDescent="0.3">
      <c r="B130" t="s">
        <v>161</v>
      </c>
      <c r="C130" t="s">
        <v>327</v>
      </c>
      <c r="D130" t="s">
        <v>548</v>
      </c>
    </row>
    <row r="131" spans="2:4" x14ac:dyDescent="0.3">
      <c r="B131" t="s">
        <v>109</v>
      </c>
      <c r="C131" t="s">
        <v>294</v>
      </c>
      <c r="D131" t="s">
        <v>515</v>
      </c>
    </row>
    <row r="132" spans="2:4" x14ac:dyDescent="0.3">
      <c r="B132" t="s">
        <v>162</v>
      </c>
      <c r="C132" t="s">
        <v>294</v>
      </c>
      <c r="D132" t="s">
        <v>515</v>
      </c>
    </row>
    <row r="133" spans="2:4" x14ac:dyDescent="0.3">
      <c r="B133" t="s">
        <v>144</v>
      </c>
      <c r="C133" t="s">
        <v>353</v>
      </c>
      <c r="D133" t="s">
        <v>549</v>
      </c>
    </row>
    <row r="134" spans="2:4" x14ac:dyDescent="0.3">
      <c r="B134" t="s">
        <v>144</v>
      </c>
      <c r="C134" t="s">
        <v>353</v>
      </c>
      <c r="D134" t="s">
        <v>549</v>
      </c>
    </row>
    <row r="135" spans="2:4" x14ac:dyDescent="0.3">
      <c r="B135" t="s">
        <v>144</v>
      </c>
      <c r="C135" t="s">
        <v>353</v>
      </c>
      <c r="D135" t="s">
        <v>549</v>
      </c>
    </row>
    <row r="136" spans="2:4" x14ac:dyDescent="0.3">
      <c r="B136" t="s">
        <v>163</v>
      </c>
      <c r="C136" t="s">
        <v>314</v>
      </c>
      <c r="D136" t="s">
        <v>522</v>
      </c>
    </row>
    <row r="137" spans="2:4" x14ac:dyDescent="0.3">
      <c r="B137" t="s">
        <v>163</v>
      </c>
      <c r="C137" t="s">
        <v>314</v>
      </c>
      <c r="D137" t="s">
        <v>522</v>
      </c>
    </row>
    <row r="138" spans="2:4" x14ac:dyDescent="0.3">
      <c r="B138" t="s">
        <v>163</v>
      </c>
      <c r="C138" t="s">
        <v>314</v>
      </c>
      <c r="D138" t="s">
        <v>522</v>
      </c>
    </row>
    <row r="139" spans="2:4" x14ac:dyDescent="0.3">
      <c r="B139" t="s">
        <v>163</v>
      </c>
      <c r="C139" t="s">
        <v>314</v>
      </c>
      <c r="D139" t="s">
        <v>522</v>
      </c>
    </row>
    <row r="140" spans="2:4" x14ac:dyDescent="0.3">
      <c r="B140" t="s">
        <v>163</v>
      </c>
      <c r="C140" t="s">
        <v>314</v>
      </c>
      <c r="D140" t="s">
        <v>522</v>
      </c>
    </row>
    <row r="141" spans="2:4" x14ac:dyDescent="0.3">
      <c r="B141" t="s">
        <v>163</v>
      </c>
      <c r="C141" t="s">
        <v>314</v>
      </c>
      <c r="D141" t="s">
        <v>522</v>
      </c>
    </row>
    <row r="142" spans="2:4" x14ac:dyDescent="0.3">
      <c r="B142" t="s">
        <v>163</v>
      </c>
      <c r="C142" t="s">
        <v>314</v>
      </c>
      <c r="D142" t="s">
        <v>522</v>
      </c>
    </row>
    <row r="143" spans="2:4" x14ac:dyDescent="0.3">
      <c r="B143" t="s">
        <v>163</v>
      </c>
      <c r="C143" t="s">
        <v>314</v>
      </c>
      <c r="D143" t="s">
        <v>522</v>
      </c>
    </row>
    <row r="144" spans="2:4" x14ac:dyDescent="0.3">
      <c r="B144" t="s">
        <v>163</v>
      </c>
      <c r="C144" t="s">
        <v>314</v>
      </c>
      <c r="D144" t="s">
        <v>522</v>
      </c>
    </row>
    <row r="145" spans="2:4" x14ac:dyDescent="0.3">
      <c r="B145" t="s">
        <v>128</v>
      </c>
      <c r="C145" t="s">
        <v>282</v>
      </c>
      <c r="D145" t="s">
        <v>524</v>
      </c>
    </row>
    <row r="146" spans="2:4" x14ac:dyDescent="0.3">
      <c r="B146" t="s">
        <v>128</v>
      </c>
      <c r="C146" t="s">
        <v>282</v>
      </c>
      <c r="D146" t="s">
        <v>524</v>
      </c>
    </row>
    <row r="147" spans="2:4" x14ac:dyDescent="0.3">
      <c r="B147" t="s">
        <v>128</v>
      </c>
      <c r="C147" t="s">
        <v>282</v>
      </c>
      <c r="D147" t="s">
        <v>524</v>
      </c>
    </row>
    <row r="148" spans="2:4" x14ac:dyDescent="0.3">
      <c r="B148" t="s">
        <v>128</v>
      </c>
      <c r="C148" t="s">
        <v>282</v>
      </c>
      <c r="D148" t="s">
        <v>524</v>
      </c>
    </row>
    <row r="149" spans="2:4" x14ac:dyDescent="0.3">
      <c r="B149" t="s">
        <v>128</v>
      </c>
      <c r="C149" t="s">
        <v>282</v>
      </c>
      <c r="D149" t="s">
        <v>524</v>
      </c>
    </row>
    <row r="150" spans="2:4" x14ac:dyDescent="0.3">
      <c r="B150" t="s">
        <v>128</v>
      </c>
      <c r="C150" t="s">
        <v>282</v>
      </c>
      <c r="D150" t="s">
        <v>524</v>
      </c>
    </row>
    <row r="151" spans="2:4" x14ac:dyDescent="0.3">
      <c r="B151" t="s">
        <v>128</v>
      </c>
      <c r="C151" t="s">
        <v>282</v>
      </c>
      <c r="D151" t="s">
        <v>524</v>
      </c>
    </row>
    <row r="152" spans="2:4" x14ac:dyDescent="0.3">
      <c r="B152" t="s">
        <v>128</v>
      </c>
      <c r="C152" t="s">
        <v>282</v>
      </c>
      <c r="D152" t="s">
        <v>524</v>
      </c>
    </row>
    <row r="153" spans="2:4" x14ac:dyDescent="0.3">
      <c r="B153" t="s">
        <v>128</v>
      </c>
      <c r="C153" t="s">
        <v>282</v>
      </c>
      <c r="D153" t="s">
        <v>524</v>
      </c>
    </row>
    <row r="154" spans="2:4" x14ac:dyDescent="0.3">
      <c r="B154" t="s">
        <v>128</v>
      </c>
      <c r="C154" t="s">
        <v>282</v>
      </c>
      <c r="D154" t="s">
        <v>524</v>
      </c>
    </row>
    <row r="155" spans="2:4" x14ac:dyDescent="0.3">
      <c r="B155" t="s">
        <v>124</v>
      </c>
      <c r="C155" t="s">
        <v>317</v>
      </c>
      <c r="D155" t="s">
        <v>521</v>
      </c>
    </row>
    <row r="156" spans="2:4" x14ac:dyDescent="0.3">
      <c r="B156" t="s">
        <v>113</v>
      </c>
      <c r="C156" t="s">
        <v>297</v>
      </c>
      <c r="D156" t="s">
        <v>543</v>
      </c>
    </row>
    <row r="157" spans="2:4" x14ac:dyDescent="0.3">
      <c r="B157" t="s">
        <v>113</v>
      </c>
      <c r="C157" t="s">
        <v>297</v>
      </c>
      <c r="D157" t="s">
        <v>543</v>
      </c>
    </row>
    <row r="158" spans="2:4" x14ac:dyDescent="0.3">
      <c r="B158" t="s">
        <v>128</v>
      </c>
      <c r="C158" t="s">
        <v>282</v>
      </c>
      <c r="D158" t="s">
        <v>524</v>
      </c>
    </row>
    <row r="159" spans="2:4" x14ac:dyDescent="0.3">
      <c r="B159" t="s">
        <v>164</v>
      </c>
      <c r="C159" t="s">
        <v>283</v>
      </c>
      <c r="D159" t="s">
        <v>527</v>
      </c>
    </row>
    <row r="160" spans="2:4" x14ac:dyDescent="0.3">
      <c r="B160" t="s">
        <v>154</v>
      </c>
      <c r="C160" t="s">
        <v>306</v>
      </c>
      <c r="D160" t="s">
        <v>480</v>
      </c>
    </row>
    <row r="161" spans="2:4" x14ac:dyDescent="0.3">
      <c r="B161" t="s">
        <v>81</v>
      </c>
      <c r="C161" t="s">
        <v>292</v>
      </c>
      <c r="D161" t="s">
        <v>526</v>
      </c>
    </row>
    <row r="162" spans="2:4" x14ac:dyDescent="0.3">
      <c r="B162" t="s">
        <v>146</v>
      </c>
      <c r="C162" t="s">
        <v>304</v>
      </c>
      <c r="D162" t="s">
        <v>529</v>
      </c>
    </row>
    <row r="163" spans="2:4" x14ac:dyDescent="0.3">
      <c r="B163" t="s">
        <v>142</v>
      </c>
      <c r="C163" t="s">
        <v>352</v>
      </c>
      <c r="D163" t="s">
        <v>544</v>
      </c>
    </row>
    <row r="164" spans="2:4" x14ac:dyDescent="0.3">
      <c r="B164" t="s">
        <v>146</v>
      </c>
      <c r="C164" t="s">
        <v>304</v>
      </c>
      <c r="D164" t="s">
        <v>529</v>
      </c>
    </row>
    <row r="165" spans="2:4" x14ac:dyDescent="0.3">
      <c r="B165" t="s">
        <v>163</v>
      </c>
      <c r="C165" t="s">
        <v>314</v>
      </c>
      <c r="D165" t="s">
        <v>522</v>
      </c>
    </row>
    <row r="166" spans="2:4" x14ac:dyDescent="0.3">
      <c r="B166" t="s">
        <v>86</v>
      </c>
      <c r="C166" t="s">
        <v>318</v>
      </c>
      <c r="D166" t="s">
        <v>525</v>
      </c>
    </row>
    <row r="167" spans="2:4" x14ac:dyDescent="0.3">
      <c r="B167" t="s">
        <v>165</v>
      </c>
      <c r="C167" t="s">
        <v>320</v>
      </c>
      <c r="D167" t="s">
        <v>531</v>
      </c>
    </row>
    <row r="168" spans="2:4" x14ac:dyDescent="0.3">
      <c r="B168" t="s">
        <v>140</v>
      </c>
      <c r="C168" t="s">
        <v>281</v>
      </c>
      <c r="D168" t="s">
        <v>541</v>
      </c>
    </row>
    <row r="169" spans="2:4" x14ac:dyDescent="0.3">
      <c r="B169" t="s">
        <v>140</v>
      </c>
      <c r="C169" t="s">
        <v>281</v>
      </c>
      <c r="D169" t="s">
        <v>541</v>
      </c>
    </row>
    <row r="170" spans="2:4" x14ac:dyDescent="0.3">
      <c r="B170" t="s">
        <v>140</v>
      </c>
      <c r="C170" t="s">
        <v>281</v>
      </c>
      <c r="D170" t="s">
        <v>541</v>
      </c>
    </row>
    <row r="171" spans="2:4" x14ac:dyDescent="0.3">
      <c r="B171" t="s">
        <v>123</v>
      </c>
      <c r="C171" t="s">
        <v>315</v>
      </c>
      <c r="D171" t="s">
        <v>520</v>
      </c>
    </row>
    <row r="172" spans="2:4" x14ac:dyDescent="0.3">
      <c r="B172" t="s">
        <v>123</v>
      </c>
      <c r="C172" t="s">
        <v>315</v>
      </c>
      <c r="D172" t="s">
        <v>520</v>
      </c>
    </row>
    <row r="173" spans="2:4" x14ac:dyDescent="0.3">
      <c r="B173" t="s">
        <v>123</v>
      </c>
      <c r="C173" t="s">
        <v>315</v>
      </c>
      <c r="D173" t="s">
        <v>520</v>
      </c>
    </row>
    <row r="174" spans="2:4" x14ac:dyDescent="0.3">
      <c r="B174" t="s">
        <v>122</v>
      </c>
      <c r="C174" t="s">
        <v>350</v>
      </c>
      <c r="D174" t="s">
        <v>519</v>
      </c>
    </row>
    <row r="175" spans="2:4" x14ac:dyDescent="0.3">
      <c r="B175" t="s">
        <v>164</v>
      </c>
      <c r="C175" t="s">
        <v>283</v>
      </c>
      <c r="D175" t="s">
        <v>527</v>
      </c>
    </row>
    <row r="176" spans="2:4" x14ac:dyDescent="0.3">
      <c r="B176" t="s">
        <v>86</v>
      </c>
      <c r="C176" t="s">
        <v>318</v>
      </c>
      <c r="D176" t="s">
        <v>525</v>
      </c>
    </row>
    <row r="177" spans="2:4" x14ac:dyDescent="0.3">
      <c r="B177" t="s">
        <v>86</v>
      </c>
      <c r="C177" t="s">
        <v>318</v>
      </c>
      <c r="D177" t="s">
        <v>525</v>
      </c>
    </row>
    <row r="178" spans="2:4" x14ac:dyDescent="0.3">
      <c r="B178" t="s">
        <v>134</v>
      </c>
      <c r="C178" t="s">
        <v>319</v>
      </c>
      <c r="D178" t="s">
        <v>530</v>
      </c>
    </row>
    <row r="179" spans="2:4" x14ac:dyDescent="0.3">
      <c r="B179" t="s">
        <v>113</v>
      </c>
      <c r="C179" t="s">
        <v>297</v>
      </c>
      <c r="D179" t="s">
        <v>543</v>
      </c>
    </row>
    <row r="180" spans="2:4" x14ac:dyDescent="0.3">
      <c r="B180" t="s">
        <v>85</v>
      </c>
      <c r="C180" t="s">
        <v>296</v>
      </c>
      <c r="D180" t="s">
        <v>514</v>
      </c>
    </row>
    <row r="181" spans="2:4" x14ac:dyDescent="0.3">
      <c r="B181" t="s">
        <v>146</v>
      </c>
      <c r="C181" t="s">
        <v>304</v>
      </c>
      <c r="D181" t="s">
        <v>529</v>
      </c>
    </row>
    <row r="182" spans="2:4" x14ac:dyDescent="0.3">
      <c r="B182" t="s">
        <v>163</v>
      </c>
      <c r="C182" t="s">
        <v>314</v>
      </c>
      <c r="D182" t="s">
        <v>522</v>
      </c>
    </row>
    <row r="183" spans="2:4" x14ac:dyDescent="0.3">
      <c r="B183" t="s">
        <v>166</v>
      </c>
      <c r="C183" t="s">
        <v>355</v>
      </c>
      <c r="D183" t="s">
        <v>561</v>
      </c>
    </row>
    <row r="184" spans="2:4" x14ac:dyDescent="0.3">
      <c r="B184" t="s">
        <v>127</v>
      </c>
      <c r="C184" t="s">
        <v>298</v>
      </c>
      <c r="D184" t="s">
        <v>542</v>
      </c>
    </row>
    <row r="185" spans="2:4" x14ac:dyDescent="0.3">
      <c r="B185" t="s">
        <v>132</v>
      </c>
      <c r="C185" t="s">
        <v>335</v>
      </c>
      <c r="D185" t="s">
        <v>552</v>
      </c>
    </row>
    <row r="186" spans="2:4" x14ac:dyDescent="0.3">
      <c r="B186" t="s">
        <v>164</v>
      </c>
      <c r="C186" t="s">
        <v>283</v>
      </c>
      <c r="D186" t="s">
        <v>527</v>
      </c>
    </row>
    <row r="187" spans="2:4" x14ac:dyDescent="0.3">
      <c r="B187" t="s">
        <v>123</v>
      </c>
      <c r="C187" t="s">
        <v>315</v>
      </c>
      <c r="D187" t="s">
        <v>520</v>
      </c>
    </row>
    <row r="188" spans="2:4" x14ac:dyDescent="0.3">
      <c r="B188" t="s">
        <v>81</v>
      </c>
      <c r="C188" t="s">
        <v>292</v>
      </c>
      <c r="D188" t="s">
        <v>526</v>
      </c>
    </row>
    <row r="189" spans="2:4" x14ac:dyDescent="0.3">
      <c r="B189" t="s">
        <v>86</v>
      </c>
      <c r="C189" t="s">
        <v>318</v>
      </c>
      <c r="D189" t="s">
        <v>525</v>
      </c>
    </row>
    <row r="190" spans="2:4" x14ac:dyDescent="0.3">
      <c r="B190" t="s">
        <v>128</v>
      </c>
      <c r="C190" t="s">
        <v>282</v>
      </c>
      <c r="D190" t="s">
        <v>524</v>
      </c>
    </row>
    <row r="191" spans="2:4" x14ac:dyDescent="0.3">
      <c r="B191" t="s">
        <v>132</v>
      </c>
      <c r="C191" t="s">
        <v>335</v>
      </c>
      <c r="D191" t="s">
        <v>552</v>
      </c>
    </row>
    <row r="192" spans="2:4" x14ac:dyDescent="0.3">
      <c r="B192" t="s">
        <v>86</v>
      </c>
      <c r="C192" t="s">
        <v>318</v>
      </c>
      <c r="D192" t="s">
        <v>525</v>
      </c>
    </row>
    <row r="193" spans="2:4" x14ac:dyDescent="0.3">
      <c r="B193" t="s">
        <v>146</v>
      </c>
      <c r="C193" t="s">
        <v>304</v>
      </c>
      <c r="D193" t="s">
        <v>529</v>
      </c>
    </row>
    <row r="194" spans="2:4" x14ac:dyDescent="0.3">
      <c r="B194" t="s">
        <v>163</v>
      </c>
      <c r="C194" t="s">
        <v>314</v>
      </c>
      <c r="D194" t="s">
        <v>522</v>
      </c>
    </row>
    <row r="195" spans="2:4" x14ac:dyDescent="0.3">
      <c r="B195" t="s">
        <v>157</v>
      </c>
      <c r="C195" t="s">
        <v>354</v>
      </c>
      <c r="D195" t="s">
        <v>483</v>
      </c>
    </row>
    <row r="196" spans="2:4" x14ac:dyDescent="0.3">
      <c r="B196" t="s">
        <v>146</v>
      </c>
      <c r="C196" t="s">
        <v>304</v>
      </c>
      <c r="D196" t="s">
        <v>529</v>
      </c>
    </row>
    <row r="197" spans="2:4" x14ac:dyDescent="0.3">
      <c r="B197" t="s">
        <v>167</v>
      </c>
      <c r="C197" t="s">
        <v>356</v>
      </c>
      <c r="D197" t="s">
        <v>523</v>
      </c>
    </row>
    <row r="198" spans="2:4" x14ac:dyDescent="0.3">
      <c r="B198" t="s">
        <v>140</v>
      </c>
      <c r="C198" t="s">
        <v>281</v>
      </c>
      <c r="D198" t="s">
        <v>541</v>
      </c>
    </row>
    <row r="199" spans="2:4" x14ac:dyDescent="0.3">
      <c r="B199" t="s">
        <v>168</v>
      </c>
      <c r="C199" t="s">
        <v>332</v>
      </c>
      <c r="D199" t="s">
        <v>558</v>
      </c>
    </row>
    <row r="200" spans="2:4" x14ac:dyDescent="0.3">
      <c r="B200" t="s">
        <v>169</v>
      </c>
      <c r="C200" s="1" t="s">
        <v>322</v>
      </c>
      <c r="D200" t="s">
        <v>533</v>
      </c>
    </row>
    <row r="201" spans="2:4" x14ac:dyDescent="0.3">
      <c r="B201" t="s">
        <v>165</v>
      </c>
      <c r="C201" t="s">
        <v>320</v>
      </c>
      <c r="D201" t="s">
        <v>531</v>
      </c>
    </row>
    <row r="202" spans="2:4" x14ac:dyDescent="0.3">
      <c r="B202" t="s">
        <v>115</v>
      </c>
      <c r="C202" t="s">
        <v>297</v>
      </c>
      <c r="D202" t="s">
        <v>543</v>
      </c>
    </row>
    <row r="203" spans="2:4" x14ac:dyDescent="0.3">
      <c r="B203" t="s">
        <v>124</v>
      </c>
      <c r="C203" t="s">
        <v>317</v>
      </c>
      <c r="D203" t="s">
        <v>521</v>
      </c>
    </row>
    <row r="204" spans="2:4" x14ac:dyDescent="0.3">
      <c r="B204" t="s">
        <v>142</v>
      </c>
      <c r="C204" t="s">
        <v>352</v>
      </c>
      <c r="D204" t="s">
        <v>544</v>
      </c>
    </row>
    <row r="205" spans="2:4" x14ac:dyDescent="0.3">
      <c r="B205" t="s">
        <v>134</v>
      </c>
      <c r="C205" t="s">
        <v>319</v>
      </c>
      <c r="D205" t="s">
        <v>530</v>
      </c>
    </row>
    <row r="206" spans="2:4" x14ac:dyDescent="0.3">
      <c r="B206" t="s">
        <v>170</v>
      </c>
      <c r="C206" t="s">
        <v>304</v>
      </c>
      <c r="D206" t="s">
        <v>529</v>
      </c>
    </row>
    <row r="207" spans="2:4" x14ac:dyDescent="0.3">
      <c r="B207" t="s">
        <v>146</v>
      </c>
      <c r="C207" t="s">
        <v>304</v>
      </c>
      <c r="D207" t="s">
        <v>529</v>
      </c>
    </row>
    <row r="208" spans="2:4" x14ac:dyDescent="0.3">
      <c r="B208" t="s">
        <v>81</v>
      </c>
      <c r="C208" t="s">
        <v>292</v>
      </c>
      <c r="D208" t="s">
        <v>526</v>
      </c>
    </row>
    <row r="209" spans="2:4" x14ac:dyDescent="0.3">
      <c r="B209" t="s">
        <v>81</v>
      </c>
      <c r="C209" t="s">
        <v>292</v>
      </c>
      <c r="D209" t="s">
        <v>526</v>
      </c>
    </row>
    <row r="210" spans="2:4" x14ac:dyDescent="0.3">
      <c r="B210" t="s">
        <v>119</v>
      </c>
      <c r="C210" t="s">
        <v>326</v>
      </c>
      <c r="D210" t="s">
        <v>550</v>
      </c>
    </row>
    <row r="211" spans="2:4" x14ac:dyDescent="0.3">
      <c r="B211" t="s">
        <v>171</v>
      </c>
      <c r="C211" t="s">
        <v>308</v>
      </c>
      <c r="D211" t="s">
        <v>413</v>
      </c>
    </row>
    <row r="212" spans="2:4" x14ac:dyDescent="0.3">
      <c r="B212" t="s">
        <v>172</v>
      </c>
      <c r="C212" t="s">
        <v>427</v>
      </c>
      <c r="D212" t="s">
        <v>408</v>
      </c>
    </row>
    <row r="213" spans="2:4" x14ac:dyDescent="0.3">
      <c r="B213" t="s">
        <v>106</v>
      </c>
      <c r="C213" t="s">
        <v>375</v>
      </c>
      <c r="D213" t="s">
        <v>409</v>
      </c>
    </row>
    <row r="214" spans="2:4" x14ac:dyDescent="0.3">
      <c r="B214" t="s">
        <v>130</v>
      </c>
      <c r="C214" t="s">
        <v>330</v>
      </c>
      <c r="D214" t="s">
        <v>540</v>
      </c>
    </row>
    <row r="215" spans="2:4" x14ac:dyDescent="0.3">
      <c r="B215" t="s">
        <v>128</v>
      </c>
      <c r="C215" t="s">
        <v>282</v>
      </c>
      <c r="D215" t="s">
        <v>524</v>
      </c>
    </row>
    <row r="216" spans="2:4" x14ac:dyDescent="0.3">
      <c r="B216" t="s">
        <v>173</v>
      </c>
      <c r="C216" t="s">
        <v>309</v>
      </c>
      <c r="D216" t="s">
        <v>429</v>
      </c>
    </row>
    <row r="217" spans="2:4" x14ac:dyDescent="0.3">
      <c r="B217" t="s">
        <v>174</v>
      </c>
      <c r="C217" t="s">
        <v>376</v>
      </c>
      <c r="D217" t="s">
        <v>407</v>
      </c>
    </row>
    <row r="218" spans="2:4" x14ac:dyDescent="0.3">
      <c r="B218" t="s">
        <v>175</v>
      </c>
      <c r="C218" t="s">
        <v>381</v>
      </c>
      <c r="D218" t="s">
        <v>404</v>
      </c>
    </row>
    <row r="219" spans="2:4" x14ac:dyDescent="0.3">
      <c r="B219" t="s">
        <v>176</v>
      </c>
      <c r="C219" t="s">
        <v>382</v>
      </c>
      <c r="D219" t="s">
        <v>410</v>
      </c>
    </row>
    <row r="220" spans="2:4" x14ac:dyDescent="0.3">
      <c r="B220" t="s">
        <v>176</v>
      </c>
      <c r="C220" t="s">
        <v>382</v>
      </c>
      <c r="D220" t="s">
        <v>410</v>
      </c>
    </row>
    <row r="221" spans="2:4" x14ac:dyDescent="0.3">
      <c r="B221" t="s">
        <v>177</v>
      </c>
      <c r="C221" t="s">
        <v>383</v>
      </c>
      <c r="D221" t="s">
        <v>412</v>
      </c>
    </row>
    <row r="222" spans="2:4" x14ac:dyDescent="0.3">
      <c r="B222" t="s">
        <v>178</v>
      </c>
      <c r="C222" t="s">
        <v>379</v>
      </c>
      <c r="D222" t="s">
        <v>414</v>
      </c>
    </row>
    <row r="223" spans="2:4" x14ac:dyDescent="0.3">
      <c r="B223" t="s">
        <v>179</v>
      </c>
      <c r="C223" t="s">
        <v>379</v>
      </c>
      <c r="D223" t="s">
        <v>414</v>
      </c>
    </row>
    <row r="224" spans="2:4" x14ac:dyDescent="0.3">
      <c r="B224" t="s">
        <v>180</v>
      </c>
      <c r="C224" t="s">
        <v>384</v>
      </c>
      <c r="D224" t="s">
        <v>411</v>
      </c>
    </row>
    <row r="225" spans="2:4" x14ac:dyDescent="0.3">
      <c r="B225" t="s">
        <v>181</v>
      </c>
      <c r="C225" t="s">
        <v>377</v>
      </c>
      <c r="D225" t="s">
        <v>416</v>
      </c>
    </row>
    <row r="226" spans="2:4" x14ac:dyDescent="0.3">
      <c r="B226" t="s">
        <v>182</v>
      </c>
      <c r="C226" t="s">
        <v>357</v>
      </c>
      <c r="D226" t="s">
        <v>478</v>
      </c>
    </row>
    <row r="227" spans="2:4" x14ac:dyDescent="0.3">
      <c r="B227" t="s">
        <v>183</v>
      </c>
      <c r="C227" t="s">
        <v>310</v>
      </c>
      <c r="D227" t="s">
        <v>486</v>
      </c>
    </row>
    <row r="228" spans="2:4" x14ac:dyDescent="0.3">
      <c r="B228" t="s">
        <v>184</v>
      </c>
      <c r="C228" t="s">
        <v>358</v>
      </c>
      <c r="D228" t="s">
        <v>487</v>
      </c>
    </row>
    <row r="229" spans="2:4" x14ac:dyDescent="0.3">
      <c r="B229" t="s">
        <v>185</v>
      </c>
      <c r="C229" t="s">
        <v>343</v>
      </c>
      <c r="D229" t="s">
        <v>488</v>
      </c>
    </row>
    <row r="230" spans="2:4" x14ac:dyDescent="0.3">
      <c r="B230" t="s">
        <v>186</v>
      </c>
      <c r="C230" t="s">
        <v>307</v>
      </c>
      <c r="D230" t="s">
        <v>489</v>
      </c>
    </row>
    <row r="231" spans="2:4" x14ac:dyDescent="0.3">
      <c r="B231" t="s">
        <v>187</v>
      </c>
      <c r="C231" t="s">
        <v>311</v>
      </c>
      <c r="D231" t="s">
        <v>430</v>
      </c>
    </row>
    <row r="232" spans="2:4" x14ac:dyDescent="0.3">
      <c r="B232" t="s">
        <v>188</v>
      </c>
      <c r="C232" t="s">
        <v>312</v>
      </c>
      <c r="D232" t="s">
        <v>430</v>
      </c>
    </row>
    <row r="233" spans="2:4" x14ac:dyDescent="0.3">
      <c r="B233" t="s">
        <v>188</v>
      </c>
      <c r="C233" t="s">
        <v>312</v>
      </c>
      <c r="D233" t="s">
        <v>430</v>
      </c>
    </row>
    <row r="234" spans="2:4" x14ac:dyDescent="0.3">
      <c r="B234" t="s">
        <v>189</v>
      </c>
      <c r="C234" t="s">
        <v>359</v>
      </c>
      <c r="D234" t="s">
        <v>490</v>
      </c>
    </row>
    <row r="235" spans="2:4" x14ac:dyDescent="0.3">
      <c r="B235" t="s">
        <v>190</v>
      </c>
      <c r="C235" t="s">
        <v>347</v>
      </c>
      <c r="D235" t="s">
        <v>491</v>
      </c>
    </row>
    <row r="236" spans="2:4" x14ac:dyDescent="0.3">
      <c r="B236" t="s">
        <v>190</v>
      </c>
      <c r="C236" t="s">
        <v>347</v>
      </c>
      <c r="D236" t="s">
        <v>491</v>
      </c>
    </row>
    <row r="237" spans="2:4" x14ac:dyDescent="0.3">
      <c r="B237" t="s">
        <v>190</v>
      </c>
      <c r="C237" t="s">
        <v>347</v>
      </c>
      <c r="D237" t="s">
        <v>491</v>
      </c>
    </row>
    <row r="238" spans="2:4" x14ac:dyDescent="0.3">
      <c r="B238" t="s">
        <v>190</v>
      </c>
      <c r="C238" t="s">
        <v>347</v>
      </c>
      <c r="D238" t="s">
        <v>491</v>
      </c>
    </row>
    <row r="239" spans="2:4" x14ac:dyDescent="0.3">
      <c r="B239" t="s">
        <v>190</v>
      </c>
      <c r="C239" t="s">
        <v>347</v>
      </c>
      <c r="D239" t="s">
        <v>491</v>
      </c>
    </row>
    <row r="240" spans="2:4" x14ac:dyDescent="0.3">
      <c r="B240" t="s">
        <v>191</v>
      </c>
      <c r="C240" t="s">
        <v>287</v>
      </c>
      <c r="D240" t="s">
        <v>477</v>
      </c>
    </row>
    <row r="241" spans="2:4" x14ac:dyDescent="0.3">
      <c r="B241" t="s">
        <v>152</v>
      </c>
      <c r="C241" t="s">
        <v>289</v>
      </c>
      <c r="D241" t="s">
        <v>494</v>
      </c>
    </row>
    <row r="242" spans="2:4" x14ac:dyDescent="0.3">
      <c r="B242" t="s">
        <v>152</v>
      </c>
      <c r="C242" t="s">
        <v>289</v>
      </c>
      <c r="D242" t="s">
        <v>494</v>
      </c>
    </row>
    <row r="243" spans="2:4" x14ac:dyDescent="0.3">
      <c r="B243" t="s">
        <v>152</v>
      </c>
      <c r="C243" t="s">
        <v>289</v>
      </c>
      <c r="D243" t="s">
        <v>494</v>
      </c>
    </row>
    <row r="244" spans="2:4" x14ac:dyDescent="0.3">
      <c r="B244" t="s">
        <v>192</v>
      </c>
      <c r="C244" t="s">
        <v>360</v>
      </c>
      <c r="D244" t="s">
        <v>495</v>
      </c>
    </row>
    <row r="245" spans="2:4" x14ac:dyDescent="0.3">
      <c r="B245" t="s">
        <v>192</v>
      </c>
      <c r="C245" t="s">
        <v>360</v>
      </c>
      <c r="D245" t="s">
        <v>495</v>
      </c>
    </row>
    <row r="246" spans="2:4" x14ac:dyDescent="0.3">
      <c r="B246" t="s">
        <v>193</v>
      </c>
      <c r="C246" t="s">
        <v>285</v>
      </c>
      <c r="D246" t="s">
        <v>476</v>
      </c>
    </row>
    <row r="247" spans="2:4" x14ac:dyDescent="0.3">
      <c r="B247" t="s">
        <v>193</v>
      </c>
      <c r="C247" t="s">
        <v>285</v>
      </c>
      <c r="D247" t="s">
        <v>476</v>
      </c>
    </row>
    <row r="248" spans="2:4" x14ac:dyDescent="0.3">
      <c r="B248" t="s">
        <v>193</v>
      </c>
      <c r="C248" t="s">
        <v>285</v>
      </c>
      <c r="D248" t="s">
        <v>476</v>
      </c>
    </row>
    <row r="249" spans="2:4" x14ac:dyDescent="0.3">
      <c r="B249" t="s">
        <v>194</v>
      </c>
      <c r="C249" t="s">
        <v>341</v>
      </c>
      <c r="D249" t="s">
        <v>496</v>
      </c>
    </row>
    <row r="250" spans="2:4" x14ac:dyDescent="0.3">
      <c r="B250" t="s">
        <v>195</v>
      </c>
      <c r="C250" t="s">
        <v>313</v>
      </c>
      <c r="D250" t="s">
        <v>497</v>
      </c>
    </row>
    <row r="251" spans="2:4" x14ac:dyDescent="0.3">
      <c r="B251" t="s">
        <v>195</v>
      </c>
      <c r="C251" t="s">
        <v>313</v>
      </c>
      <c r="D251" t="s">
        <v>497</v>
      </c>
    </row>
    <row r="252" spans="2:4" x14ac:dyDescent="0.3">
      <c r="B252" t="s">
        <v>196</v>
      </c>
      <c r="C252" t="s">
        <v>361</v>
      </c>
      <c r="D252" t="s">
        <v>484</v>
      </c>
    </row>
    <row r="253" spans="2:4" x14ac:dyDescent="0.3">
      <c r="B253" t="s">
        <v>196</v>
      </c>
      <c r="C253" t="s">
        <v>361</v>
      </c>
      <c r="D253" t="s">
        <v>484</v>
      </c>
    </row>
    <row r="254" spans="2:4" x14ac:dyDescent="0.3">
      <c r="B254" t="s">
        <v>197</v>
      </c>
      <c r="C254" t="s">
        <v>362</v>
      </c>
      <c r="D254" t="s">
        <v>502</v>
      </c>
    </row>
    <row r="255" spans="2:4" x14ac:dyDescent="0.3">
      <c r="B255" t="s">
        <v>163</v>
      </c>
      <c r="C255" t="s">
        <v>314</v>
      </c>
      <c r="D255" t="s">
        <v>522</v>
      </c>
    </row>
    <row r="256" spans="2:4" x14ac:dyDescent="0.3">
      <c r="B256" t="s">
        <v>140</v>
      </c>
      <c r="C256" t="s">
        <v>281</v>
      </c>
      <c r="D256" t="s">
        <v>541</v>
      </c>
    </row>
    <row r="257" spans="2:4" x14ac:dyDescent="0.3">
      <c r="B257" t="s">
        <v>198</v>
      </c>
      <c r="C257" t="s">
        <v>363</v>
      </c>
      <c r="D257" t="s">
        <v>555</v>
      </c>
    </row>
    <row r="258" spans="2:4" x14ac:dyDescent="0.3">
      <c r="B258" t="s">
        <v>115</v>
      </c>
      <c r="C258" t="s">
        <v>297</v>
      </c>
      <c r="D258" t="s">
        <v>543</v>
      </c>
    </row>
    <row r="259" spans="2:4" x14ac:dyDescent="0.3">
      <c r="B259" t="s">
        <v>146</v>
      </c>
      <c r="C259" t="s">
        <v>304</v>
      </c>
      <c r="D259" t="s">
        <v>529</v>
      </c>
    </row>
    <row r="260" spans="2:4" x14ac:dyDescent="0.3">
      <c r="B260" t="s">
        <v>164</v>
      </c>
      <c r="C260" t="s">
        <v>283</v>
      </c>
      <c r="D260" t="s">
        <v>527</v>
      </c>
    </row>
    <row r="261" spans="2:4" x14ac:dyDescent="0.3">
      <c r="B261" t="s">
        <v>163</v>
      </c>
      <c r="C261" t="s">
        <v>314</v>
      </c>
      <c r="D261" t="s">
        <v>522</v>
      </c>
    </row>
    <row r="262" spans="2:4" x14ac:dyDescent="0.3">
      <c r="B262" t="s">
        <v>128</v>
      </c>
      <c r="C262" t="s">
        <v>282</v>
      </c>
      <c r="D262" t="s">
        <v>524</v>
      </c>
    </row>
    <row r="263" spans="2:4" x14ac:dyDescent="0.3">
      <c r="B263" t="s">
        <v>85</v>
      </c>
      <c r="C263" t="s">
        <v>296</v>
      </c>
      <c r="D263" t="s">
        <v>514</v>
      </c>
    </row>
    <row r="264" spans="2:4" x14ac:dyDescent="0.3">
      <c r="B264" t="s">
        <v>86</v>
      </c>
      <c r="C264" t="s">
        <v>318</v>
      </c>
      <c r="D264" t="s">
        <v>525</v>
      </c>
    </row>
    <row r="265" spans="2:4" x14ac:dyDescent="0.3">
      <c r="B265" t="s">
        <v>132</v>
      </c>
      <c r="C265" t="s">
        <v>335</v>
      </c>
      <c r="D265" t="s">
        <v>552</v>
      </c>
    </row>
    <row r="266" spans="2:4" x14ac:dyDescent="0.3">
      <c r="B266" t="s">
        <v>164</v>
      </c>
      <c r="C266" t="s">
        <v>283</v>
      </c>
      <c r="D266" t="s">
        <v>527</v>
      </c>
    </row>
    <row r="267" spans="2:4" x14ac:dyDescent="0.3">
      <c r="B267" t="s">
        <v>164</v>
      </c>
      <c r="C267" t="s">
        <v>283</v>
      </c>
      <c r="D267" t="s">
        <v>527</v>
      </c>
    </row>
    <row r="268" spans="2:4" x14ac:dyDescent="0.3">
      <c r="B268" t="s">
        <v>81</v>
      </c>
      <c r="C268" t="s">
        <v>292</v>
      </c>
      <c r="D268" t="s">
        <v>526</v>
      </c>
    </row>
    <row r="269" spans="2:4" x14ac:dyDescent="0.3">
      <c r="B269" t="s">
        <v>140</v>
      </c>
      <c r="C269" t="s">
        <v>281</v>
      </c>
      <c r="D269" t="s">
        <v>541</v>
      </c>
    </row>
    <row r="270" spans="2:4" x14ac:dyDescent="0.3">
      <c r="B270" t="s">
        <v>142</v>
      </c>
      <c r="C270" t="s">
        <v>352</v>
      </c>
      <c r="D270" t="s">
        <v>544</v>
      </c>
    </row>
    <row r="271" spans="2:4" x14ac:dyDescent="0.3">
      <c r="B271" t="s">
        <v>140</v>
      </c>
      <c r="C271" t="s">
        <v>281</v>
      </c>
      <c r="D271" t="s">
        <v>541</v>
      </c>
    </row>
    <row r="272" spans="2:4" x14ac:dyDescent="0.3">
      <c r="B272" t="s">
        <v>163</v>
      </c>
      <c r="C272" t="s">
        <v>314</v>
      </c>
      <c r="D272" t="s">
        <v>522</v>
      </c>
    </row>
    <row r="273" spans="2:4" x14ac:dyDescent="0.3">
      <c r="B273" t="s">
        <v>199</v>
      </c>
      <c r="C273" t="s">
        <v>303</v>
      </c>
      <c r="D273" t="s">
        <v>545</v>
      </c>
    </row>
    <row r="274" spans="2:4" x14ac:dyDescent="0.3">
      <c r="B274" t="s">
        <v>81</v>
      </c>
      <c r="C274" t="s">
        <v>292</v>
      </c>
      <c r="D274" t="s">
        <v>526</v>
      </c>
    </row>
    <row r="275" spans="2:4" x14ac:dyDescent="0.3">
      <c r="B275" t="s">
        <v>200</v>
      </c>
      <c r="C275" t="s">
        <v>364</v>
      </c>
      <c r="D275" t="s">
        <v>546</v>
      </c>
    </row>
    <row r="276" spans="2:4" x14ac:dyDescent="0.3">
      <c r="B276" t="s">
        <v>153</v>
      </c>
      <c r="C276" t="s">
        <v>295</v>
      </c>
      <c r="D276" t="s">
        <v>516</v>
      </c>
    </row>
    <row r="277" spans="2:4" x14ac:dyDescent="0.3">
      <c r="B277" t="s">
        <v>127</v>
      </c>
      <c r="C277" t="s">
        <v>298</v>
      </c>
      <c r="D277" t="s">
        <v>542</v>
      </c>
    </row>
    <row r="278" spans="2:4" x14ac:dyDescent="0.3">
      <c r="B278" t="s">
        <v>130</v>
      </c>
      <c r="C278" t="s">
        <v>330</v>
      </c>
      <c r="D278" t="s">
        <v>540</v>
      </c>
    </row>
    <row r="279" spans="2:4" x14ac:dyDescent="0.3">
      <c r="B279" t="s">
        <v>132</v>
      </c>
      <c r="C279" t="s">
        <v>335</v>
      </c>
      <c r="D279" t="s">
        <v>552</v>
      </c>
    </row>
    <row r="280" spans="2:4" x14ac:dyDescent="0.3">
      <c r="B280" t="s">
        <v>124</v>
      </c>
      <c r="C280" t="s">
        <v>317</v>
      </c>
      <c r="D280" t="s">
        <v>521</v>
      </c>
    </row>
    <row r="281" spans="2:4" x14ac:dyDescent="0.3">
      <c r="B281" t="s">
        <v>127</v>
      </c>
      <c r="C281" t="s">
        <v>298</v>
      </c>
      <c r="D281" t="s">
        <v>542</v>
      </c>
    </row>
    <row r="282" spans="2:4" x14ac:dyDescent="0.3">
      <c r="B282" t="s">
        <v>163</v>
      </c>
      <c r="C282" t="s">
        <v>314</v>
      </c>
      <c r="D282" t="s">
        <v>522</v>
      </c>
    </row>
    <row r="283" spans="2:4" x14ac:dyDescent="0.3">
      <c r="B283" t="s">
        <v>128</v>
      </c>
      <c r="C283" t="s">
        <v>282</v>
      </c>
      <c r="D283" t="s">
        <v>524</v>
      </c>
    </row>
    <row r="284" spans="2:4" x14ac:dyDescent="0.3">
      <c r="B284" t="s">
        <v>86</v>
      </c>
      <c r="C284" t="s">
        <v>318</v>
      </c>
      <c r="D284" t="s">
        <v>525</v>
      </c>
    </row>
    <row r="285" spans="2:4" x14ac:dyDescent="0.3">
      <c r="B285" t="s">
        <v>109</v>
      </c>
      <c r="C285" t="s">
        <v>294</v>
      </c>
      <c r="D285" t="s">
        <v>515</v>
      </c>
    </row>
    <row r="286" spans="2:4" x14ac:dyDescent="0.3">
      <c r="B286" t="s">
        <v>123</v>
      </c>
      <c r="C286" t="s">
        <v>315</v>
      </c>
      <c r="D286" t="s">
        <v>520</v>
      </c>
    </row>
    <row r="287" spans="2:4" x14ac:dyDescent="0.3">
      <c r="B287" t="s">
        <v>201</v>
      </c>
      <c r="C287" t="s">
        <v>314</v>
      </c>
      <c r="D287" t="s">
        <v>522</v>
      </c>
    </row>
    <row r="288" spans="2:4" x14ac:dyDescent="0.3">
      <c r="B288" t="s">
        <v>202</v>
      </c>
      <c r="C288" t="s">
        <v>282</v>
      </c>
      <c r="D288" t="s">
        <v>524</v>
      </c>
    </row>
    <row r="289" spans="2:4" x14ac:dyDescent="0.3">
      <c r="B289" t="s">
        <v>108</v>
      </c>
      <c r="C289" t="s">
        <v>293</v>
      </c>
      <c r="D289" t="s">
        <v>528</v>
      </c>
    </row>
    <row r="290" spans="2:4" x14ac:dyDescent="0.3">
      <c r="B290" t="s">
        <v>129</v>
      </c>
      <c r="C290" t="s">
        <v>293</v>
      </c>
      <c r="D290" t="s">
        <v>528</v>
      </c>
    </row>
    <row r="291" spans="2:4" x14ac:dyDescent="0.3">
      <c r="B291" t="s">
        <v>203</v>
      </c>
      <c r="C291" t="s">
        <v>365</v>
      </c>
      <c r="D291" t="s">
        <v>566</v>
      </c>
    </row>
    <row r="292" spans="2:4" x14ac:dyDescent="0.3">
      <c r="B292" t="s">
        <v>204</v>
      </c>
      <c r="C292" t="s">
        <v>295</v>
      </c>
      <c r="D292" t="s">
        <v>516</v>
      </c>
    </row>
    <row r="293" spans="2:4" x14ac:dyDescent="0.3">
      <c r="B293" t="s">
        <v>127</v>
      </c>
      <c r="C293" t="s">
        <v>298</v>
      </c>
      <c r="D293" t="s">
        <v>542</v>
      </c>
    </row>
    <row r="294" spans="2:4" x14ac:dyDescent="0.3">
      <c r="B294" t="s">
        <v>205</v>
      </c>
      <c r="C294" t="s">
        <v>282</v>
      </c>
      <c r="D294" t="s">
        <v>524</v>
      </c>
    </row>
    <row r="295" spans="2:4" x14ac:dyDescent="0.3">
      <c r="B295" t="s">
        <v>146</v>
      </c>
      <c r="C295" t="s">
        <v>304</v>
      </c>
      <c r="D295" t="s">
        <v>529</v>
      </c>
    </row>
    <row r="296" spans="2:4" x14ac:dyDescent="0.3">
      <c r="B296" t="s">
        <v>81</v>
      </c>
      <c r="C296" t="s">
        <v>292</v>
      </c>
      <c r="D296" t="s">
        <v>526</v>
      </c>
    </row>
    <row r="297" spans="2:4" x14ac:dyDescent="0.3">
      <c r="B297" t="s">
        <v>128</v>
      </c>
      <c r="C297" t="s">
        <v>282</v>
      </c>
      <c r="D297" t="s">
        <v>524</v>
      </c>
    </row>
    <row r="298" spans="2:4" x14ac:dyDescent="0.3">
      <c r="B298" t="s">
        <v>115</v>
      </c>
      <c r="C298" t="s">
        <v>297</v>
      </c>
      <c r="D298" t="s">
        <v>543</v>
      </c>
    </row>
    <row r="299" spans="2:4" x14ac:dyDescent="0.3">
      <c r="B299" t="s">
        <v>206</v>
      </c>
      <c r="C299" t="s">
        <v>366</v>
      </c>
      <c r="D299" t="s">
        <v>513</v>
      </c>
    </row>
    <row r="300" spans="2:4" x14ac:dyDescent="0.3">
      <c r="B300" t="s">
        <v>128</v>
      </c>
      <c r="C300" t="s">
        <v>282</v>
      </c>
      <c r="D300" t="s">
        <v>524</v>
      </c>
    </row>
    <row r="301" spans="2:4" x14ac:dyDescent="0.3">
      <c r="B301" t="s">
        <v>118</v>
      </c>
      <c r="C301" t="s">
        <v>349</v>
      </c>
      <c r="D301" t="s">
        <v>547</v>
      </c>
    </row>
    <row r="302" spans="2:4" x14ac:dyDescent="0.3">
      <c r="B302" t="s">
        <v>207</v>
      </c>
      <c r="C302" t="s">
        <v>367</v>
      </c>
      <c r="D302" t="s">
        <v>568</v>
      </c>
    </row>
    <row r="303" spans="2:4" x14ac:dyDescent="0.3">
      <c r="B303" t="s">
        <v>208</v>
      </c>
      <c r="C303" t="s">
        <v>368</v>
      </c>
      <c r="D303" t="s">
        <v>569</v>
      </c>
    </row>
    <row r="304" spans="2:4" x14ac:dyDescent="0.3">
      <c r="B304" t="s">
        <v>200</v>
      </c>
      <c r="C304" t="s">
        <v>364</v>
      </c>
      <c r="D304" t="s">
        <v>546</v>
      </c>
    </row>
    <row r="305" spans="2:4" x14ac:dyDescent="0.3">
      <c r="B305" t="s">
        <v>109</v>
      </c>
      <c r="C305" t="s">
        <v>294</v>
      </c>
      <c r="D305" t="s">
        <v>515</v>
      </c>
    </row>
    <row r="306" spans="2:4" x14ac:dyDescent="0.3">
      <c r="B306" t="s">
        <v>209</v>
      </c>
      <c r="C306" t="s">
        <v>369</v>
      </c>
      <c r="D306" t="s">
        <v>567</v>
      </c>
    </row>
    <row r="307" spans="2:4" x14ac:dyDescent="0.3">
      <c r="B307" t="s">
        <v>164</v>
      </c>
      <c r="C307" t="s">
        <v>283</v>
      </c>
      <c r="D307" t="s">
        <v>527</v>
      </c>
    </row>
    <row r="308" spans="2:4" x14ac:dyDescent="0.3">
      <c r="B308" t="s">
        <v>164</v>
      </c>
      <c r="C308" t="s">
        <v>283</v>
      </c>
      <c r="D308" t="s">
        <v>527</v>
      </c>
    </row>
    <row r="309" spans="2:4" x14ac:dyDescent="0.3">
      <c r="B309" t="s">
        <v>129</v>
      </c>
      <c r="C309" t="s">
        <v>293</v>
      </c>
      <c r="D309" t="s">
        <v>528</v>
      </c>
    </row>
    <row r="310" spans="2:4" x14ac:dyDescent="0.3">
      <c r="B310" t="s">
        <v>130</v>
      </c>
      <c r="C310" t="s">
        <v>330</v>
      </c>
      <c r="D310" t="s">
        <v>540</v>
      </c>
    </row>
    <row r="311" spans="2:4" x14ac:dyDescent="0.3">
      <c r="B311" t="s">
        <v>110</v>
      </c>
      <c r="C311" t="s">
        <v>294</v>
      </c>
      <c r="D311" t="s">
        <v>515</v>
      </c>
    </row>
    <row r="312" spans="2:4" x14ac:dyDescent="0.3">
      <c r="B312" t="s">
        <v>115</v>
      </c>
      <c r="C312" t="s">
        <v>297</v>
      </c>
      <c r="D312" t="s">
        <v>543</v>
      </c>
    </row>
    <row r="313" spans="2:4" x14ac:dyDescent="0.3">
      <c r="B313" t="s">
        <v>108</v>
      </c>
      <c r="C313" t="s">
        <v>293</v>
      </c>
      <c r="D313" t="s">
        <v>528</v>
      </c>
    </row>
    <row r="314" spans="2:4" x14ac:dyDescent="0.3">
      <c r="B314" t="s">
        <v>140</v>
      </c>
      <c r="C314" t="s">
        <v>281</v>
      </c>
      <c r="D314" t="s">
        <v>541</v>
      </c>
    </row>
    <row r="315" spans="2:4" x14ac:dyDescent="0.3">
      <c r="B315" t="s">
        <v>124</v>
      </c>
      <c r="C315" t="s">
        <v>317</v>
      </c>
      <c r="D315" t="s">
        <v>521</v>
      </c>
    </row>
    <row r="316" spans="2:4" x14ac:dyDescent="0.3">
      <c r="B316" t="s">
        <v>81</v>
      </c>
      <c r="C316" t="s">
        <v>292</v>
      </c>
      <c r="D316" t="s">
        <v>526</v>
      </c>
    </row>
    <row r="317" spans="2:4" x14ac:dyDescent="0.3">
      <c r="B317" t="s">
        <v>77</v>
      </c>
      <c r="C317" t="s">
        <v>282</v>
      </c>
      <c r="D317" t="s">
        <v>524</v>
      </c>
    </row>
    <row r="318" spans="2:4" x14ac:dyDescent="0.3">
      <c r="B318" t="s">
        <v>210</v>
      </c>
      <c r="C318" t="s">
        <v>315</v>
      </c>
      <c r="D318" t="s">
        <v>520</v>
      </c>
    </row>
    <row r="319" spans="2:4" x14ac:dyDescent="0.3">
      <c r="B319" t="s">
        <v>76</v>
      </c>
      <c r="C319" t="s">
        <v>281</v>
      </c>
      <c r="D319" t="s">
        <v>541</v>
      </c>
    </row>
    <row r="320" spans="2:4" x14ac:dyDescent="0.3">
      <c r="B320" t="s">
        <v>125</v>
      </c>
      <c r="C320" t="s">
        <v>378</v>
      </c>
      <c r="D320" t="s">
        <v>405</v>
      </c>
    </row>
    <row r="321" spans="2:4" x14ac:dyDescent="0.3">
      <c r="B321" t="s">
        <v>211</v>
      </c>
      <c r="C321" t="s">
        <v>380</v>
      </c>
      <c r="D321" t="s">
        <v>415</v>
      </c>
    </row>
    <row r="322" spans="2:4" x14ac:dyDescent="0.3">
      <c r="B322" t="s">
        <v>212</v>
      </c>
      <c r="C322" t="s">
        <v>377</v>
      </c>
      <c r="D322" t="s">
        <v>416</v>
      </c>
    </row>
    <row r="323" spans="2:4" x14ac:dyDescent="0.3">
      <c r="B323" t="s">
        <v>93</v>
      </c>
      <c r="C323" t="s">
        <v>284</v>
      </c>
      <c r="D323" t="s">
        <v>475</v>
      </c>
    </row>
    <row r="324" spans="2:4" x14ac:dyDescent="0.3">
      <c r="B324" t="s">
        <v>213</v>
      </c>
      <c r="C324" t="s">
        <v>325</v>
      </c>
      <c r="D324" t="s">
        <v>536</v>
      </c>
    </row>
    <row r="325" spans="2:4" x14ac:dyDescent="0.3">
      <c r="B325" t="s">
        <v>86</v>
      </c>
      <c r="C325" t="s">
        <v>318</v>
      </c>
      <c r="D325" t="s">
        <v>525</v>
      </c>
    </row>
    <row r="326" spans="2:4" x14ac:dyDescent="0.3">
      <c r="B326" t="s">
        <v>81</v>
      </c>
      <c r="C326" t="s">
        <v>292</v>
      </c>
      <c r="D326" t="s">
        <v>526</v>
      </c>
    </row>
    <row r="327" spans="2:4" x14ac:dyDescent="0.3">
      <c r="B327" t="s">
        <v>140</v>
      </c>
      <c r="C327" t="s">
        <v>281</v>
      </c>
      <c r="D327" t="s">
        <v>541</v>
      </c>
    </row>
    <row r="328" spans="2:4" x14ac:dyDescent="0.3">
      <c r="B328" t="s">
        <v>214</v>
      </c>
      <c r="C328" t="s">
        <v>321</v>
      </c>
      <c r="D328" t="s">
        <v>532</v>
      </c>
    </row>
    <row r="329" spans="2:4" x14ac:dyDescent="0.3">
      <c r="B329" t="s">
        <v>125</v>
      </c>
      <c r="C329" t="s">
        <v>378</v>
      </c>
      <c r="D329" t="s">
        <v>405</v>
      </c>
    </row>
    <row r="330" spans="2:4" x14ac:dyDescent="0.3">
      <c r="B330" t="s">
        <v>77</v>
      </c>
      <c r="C330" t="s">
        <v>282</v>
      </c>
      <c r="D330" t="s">
        <v>524</v>
      </c>
    </row>
    <row r="331" spans="2:4" x14ac:dyDescent="0.3">
      <c r="B331" t="s">
        <v>147</v>
      </c>
      <c r="C331" t="s">
        <v>304</v>
      </c>
      <c r="D331" t="s">
        <v>529</v>
      </c>
    </row>
    <row r="332" spans="2:4" x14ac:dyDescent="0.3">
      <c r="B332" t="s">
        <v>215</v>
      </c>
      <c r="C332" t="s">
        <v>316</v>
      </c>
      <c r="D332" t="s">
        <v>562</v>
      </c>
    </row>
    <row r="333" spans="2:4" x14ac:dyDescent="0.3">
      <c r="B333" t="s">
        <v>210</v>
      </c>
      <c r="C333" t="s">
        <v>315</v>
      </c>
      <c r="D333" t="s">
        <v>520</v>
      </c>
    </row>
    <row r="334" spans="2:4" x14ac:dyDescent="0.3">
      <c r="B334" t="s">
        <v>147</v>
      </c>
      <c r="C334" t="s">
        <v>304</v>
      </c>
      <c r="D334" t="s">
        <v>529</v>
      </c>
    </row>
    <row r="335" spans="2:4" x14ac:dyDescent="0.3">
      <c r="B335" t="s">
        <v>147</v>
      </c>
      <c r="C335" t="s">
        <v>304</v>
      </c>
      <c r="D335" t="s">
        <v>529</v>
      </c>
    </row>
    <row r="336" spans="2:4" x14ac:dyDescent="0.3">
      <c r="B336" t="s">
        <v>216</v>
      </c>
      <c r="C336" t="s">
        <v>317</v>
      </c>
      <c r="D336" t="s">
        <v>521</v>
      </c>
    </row>
    <row r="337" spans="2:4" x14ac:dyDescent="0.3">
      <c r="B337" t="s">
        <v>77</v>
      </c>
      <c r="C337" t="s">
        <v>282</v>
      </c>
      <c r="D337" t="s">
        <v>524</v>
      </c>
    </row>
    <row r="338" spans="2:4" x14ac:dyDescent="0.3">
      <c r="B338" t="s">
        <v>77</v>
      </c>
      <c r="C338" t="s">
        <v>282</v>
      </c>
      <c r="D338" t="s">
        <v>524</v>
      </c>
    </row>
    <row r="339" spans="2:4" x14ac:dyDescent="0.3">
      <c r="B339" t="s">
        <v>217</v>
      </c>
      <c r="C339" t="s">
        <v>318</v>
      </c>
      <c r="D339" t="s">
        <v>525</v>
      </c>
    </row>
    <row r="340" spans="2:4" x14ac:dyDescent="0.3">
      <c r="B340" t="s">
        <v>218</v>
      </c>
      <c r="C340" t="s">
        <v>319</v>
      </c>
      <c r="D340" t="s">
        <v>530</v>
      </c>
    </row>
    <row r="341" spans="2:4" x14ac:dyDescent="0.3">
      <c r="B341" t="s">
        <v>219</v>
      </c>
      <c r="C341" t="s">
        <v>320</v>
      </c>
      <c r="D341" t="s">
        <v>531</v>
      </c>
    </row>
    <row r="342" spans="2:4" x14ac:dyDescent="0.3">
      <c r="B342" t="s">
        <v>220</v>
      </c>
      <c r="C342" t="s">
        <v>321</v>
      </c>
      <c r="D342" t="s">
        <v>532</v>
      </c>
    </row>
    <row r="343" spans="2:4" x14ac:dyDescent="0.3">
      <c r="B343" t="s">
        <v>216</v>
      </c>
      <c r="C343" t="s">
        <v>317</v>
      </c>
      <c r="D343" t="s">
        <v>521</v>
      </c>
    </row>
    <row r="344" spans="2:4" x14ac:dyDescent="0.3">
      <c r="B344" t="s">
        <v>107</v>
      </c>
      <c r="C344" t="s">
        <v>292</v>
      </c>
      <c r="D344" t="s">
        <v>526</v>
      </c>
    </row>
    <row r="345" spans="2:4" x14ac:dyDescent="0.3">
      <c r="B345" t="s">
        <v>221</v>
      </c>
      <c r="C345" s="1" t="s">
        <v>322</v>
      </c>
      <c r="D345" t="s">
        <v>533</v>
      </c>
    </row>
    <row r="346" spans="2:4" x14ac:dyDescent="0.3">
      <c r="B346" t="s">
        <v>210</v>
      </c>
      <c r="C346" t="s">
        <v>315</v>
      </c>
      <c r="D346" t="s">
        <v>520</v>
      </c>
    </row>
    <row r="347" spans="2:4" x14ac:dyDescent="0.3">
      <c r="B347" t="s">
        <v>147</v>
      </c>
      <c r="C347" t="s">
        <v>304</v>
      </c>
      <c r="D347" t="s">
        <v>529</v>
      </c>
    </row>
    <row r="348" spans="2:4" x14ac:dyDescent="0.3">
      <c r="B348" t="s">
        <v>217</v>
      </c>
      <c r="C348" t="s">
        <v>318</v>
      </c>
      <c r="D348" t="s">
        <v>525</v>
      </c>
    </row>
    <row r="349" spans="2:4" x14ac:dyDescent="0.3">
      <c r="B349" t="s">
        <v>222</v>
      </c>
      <c r="C349" t="s">
        <v>323</v>
      </c>
      <c r="D349" t="s">
        <v>534</v>
      </c>
    </row>
    <row r="350" spans="2:4" x14ac:dyDescent="0.3">
      <c r="B350" t="s">
        <v>223</v>
      </c>
      <c r="C350" t="s">
        <v>324</v>
      </c>
      <c r="D350" t="s">
        <v>535</v>
      </c>
    </row>
    <row r="351" spans="2:4" x14ac:dyDescent="0.3">
      <c r="B351" t="s">
        <v>224</v>
      </c>
      <c r="C351" t="s">
        <v>325</v>
      </c>
      <c r="D351" t="s">
        <v>536</v>
      </c>
    </row>
    <row r="352" spans="2:4" x14ac:dyDescent="0.3">
      <c r="B352" t="s">
        <v>116</v>
      </c>
      <c r="C352" t="s">
        <v>298</v>
      </c>
      <c r="D352" t="s">
        <v>542</v>
      </c>
    </row>
    <row r="353" spans="2:4" x14ac:dyDescent="0.3">
      <c r="B353" t="s">
        <v>78</v>
      </c>
      <c r="C353" t="s">
        <v>283</v>
      </c>
      <c r="D353" t="s">
        <v>527</v>
      </c>
    </row>
    <row r="354" spans="2:4" x14ac:dyDescent="0.3">
      <c r="B354" t="s">
        <v>217</v>
      </c>
      <c r="C354" t="s">
        <v>318</v>
      </c>
      <c r="D354" t="s">
        <v>525</v>
      </c>
    </row>
    <row r="355" spans="2:4" x14ac:dyDescent="0.3">
      <c r="B355" t="s">
        <v>225</v>
      </c>
      <c r="C355" t="s">
        <v>326</v>
      </c>
      <c r="D355" t="s">
        <v>550</v>
      </c>
    </row>
    <row r="356" spans="2:4" x14ac:dyDescent="0.3">
      <c r="B356" t="s">
        <v>221</v>
      </c>
      <c r="C356" t="s">
        <v>322</v>
      </c>
      <c r="D356" t="s">
        <v>533</v>
      </c>
    </row>
    <row r="357" spans="2:4" x14ac:dyDescent="0.3">
      <c r="B357" t="s">
        <v>221</v>
      </c>
      <c r="C357" t="s">
        <v>322</v>
      </c>
      <c r="D357" t="s">
        <v>533</v>
      </c>
    </row>
    <row r="358" spans="2:4" x14ac:dyDescent="0.3">
      <c r="B358" t="s">
        <v>77</v>
      </c>
      <c r="C358" t="s">
        <v>282</v>
      </c>
      <c r="D358" t="s">
        <v>524</v>
      </c>
    </row>
    <row r="359" spans="2:4" x14ac:dyDescent="0.3">
      <c r="B359" t="s">
        <v>78</v>
      </c>
      <c r="C359" t="s">
        <v>283</v>
      </c>
      <c r="D359" t="s">
        <v>527</v>
      </c>
    </row>
    <row r="360" spans="2:4" x14ac:dyDescent="0.3">
      <c r="B360" t="s">
        <v>226</v>
      </c>
      <c r="C360" t="s">
        <v>327</v>
      </c>
      <c r="D360" t="s">
        <v>548</v>
      </c>
    </row>
    <row r="361" spans="2:4" x14ac:dyDescent="0.3">
      <c r="B361" t="s">
        <v>227</v>
      </c>
      <c r="C361" t="s">
        <v>328</v>
      </c>
      <c r="D361" t="s">
        <v>538</v>
      </c>
    </row>
    <row r="362" spans="2:4" x14ac:dyDescent="0.3">
      <c r="B362" t="s">
        <v>217</v>
      </c>
      <c r="C362" t="s">
        <v>318</v>
      </c>
      <c r="D362" t="s">
        <v>525</v>
      </c>
    </row>
    <row r="363" spans="2:4" x14ac:dyDescent="0.3">
      <c r="B363" t="s">
        <v>220</v>
      </c>
      <c r="C363" t="s">
        <v>321</v>
      </c>
      <c r="D363" t="s">
        <v>532</v>
      </c>
    </row>
    <row r="364" spans="2:4" x14ac:dyDescent="0.3">
      <c r="B364" t="s">
        <v>210</v>
      </c>
      <c r="C364" t="s">
        <v>315</v>
      </c>
      <c r="D364" t="s">
        <v>520</v>
      </c>
    </row>
    <row r="365" spans="2:4" x14ac:dyDescent="0.3">
      <c r="B365" t="s">
        <v>226</v>
      </c>
      <c r="C365" t="s">
        <v>327</v>
      </c>
      <c r="D365" t="s">
        <v>548</v>
      </c>
    </row>
    <row r="366" spans="2:4" x14ac:dyDescent="0.3">
      <c r="B366" t="s">
        <v>220</v>
      </c>
      <c r="C366" t="s">
        <v>321</v>
      </c>
      <c r="D366" t="s">
        <v>532</v>
      </c>
    </row>
    <row r="367" spans="2:4" x14ac:dyDescent="0.3">
      <c r="B367" t="s">
        <v>227</v>
      </c>
      <c r="C367" t="s">
        <v>328</v>
      </c>
      <c r="D367" t="s">
        <v>538</v>
      </c>
    </row>
    <row r="368" spans="2:4" x14ac:dyDescent="0.3">
      <c r="B368" t="s">
        <v>217</v>
      </c>
      <c r="C368" t="s">
        <v>318</v>
      </c>
      <c r="D368" t="s">
        <v>525</v>
      </c>
    </row>
    <row r="369" spans="2:4" x14ac:dyDescent="0.3">
      <c r="B369" t="s">
        <v>228</v>
      </c>
      <c r="C369" t="s">
        <v>329</v>
      </c>
      <c r="D369" t="s">
        <v>554</v>
      </c>
    </row>
    <row r="370" spans="2:4" x14ac:dyDescent="0.3">
      <c r="B370" t="s">
        <v>217</v>
      </c>
      <c r="C370" t="s">
        <v>318</v>
      </c>
      <c r="D370" t="s">
        <v>525</v>
      </c>
    </row>
    <row r="371" spans="2:4" x14ac:dyDescent="0.3">
      <c r="B371" t="s">
        <v>76</v>
      </c>
      <c r="C371" t="s">
        <v>281</v>
      </c>
      <c r="D371" t="s">
        <v>541</v>
      </c>
    </row>
    <row r="372" spans="2:4" x14ac:dyDescent="0.3">
      <c r="B372" t="s">
        <v>217</v>
      </c>
      <c r="C372" t="s">
        <v>318</v>
      </c>
      <c r="D372" t="s">
        <v>525</v>
      </c>
    </row>
    <row r="373" spans="2:4" x14ac:dyDescent="0.3">
      <c r="B373" t="s">
        <v>78</v>
      </c>
      <c r="C373" t="s">
        <v>283</v>
      </c>
      <c r="D373" t="s">
        <v>527</v>
      </c>
    </row>
    <row r="374" spans="2:4" x14ac:dyDescent="0.3">
      <c r="B374" t="s">
        <v>229</v>
      </c>
      <c r="C374" t="s">
        <v>385</v>
      </c>
      <c r="D374" t="s">
        <v>474</v>
      </c>
    </row>
    <row r="375" spans="2:4" x14ac:dyDescent="0.3">
      <c r="B375" t="s">
        <v>230</v>
      </c>
      <c r="C375" t="s">
        <v>386</v>
      </c>
      <c r="D375" t="s">
        <v>482</v>
      </c>
    </row>
    <row r="376" spans="2:4" x14ac:dyDescent="0.3">
      <c r="B376" t="s">
        <v>231</v>
      </c>
      <c r="C376" t="s">
        <v>330</v>
      </c>
      <c r="D376" t="s">
        <v>540</v>
      </c>
    </row>
    <row r="377" spans="2:4" x14ac:dyDescent="0.3">
      <c r="B377" t="s">
        <v>226</v>
      </c>
      <c r="C377" t="s">
        <v>327</v>
      </c>
      <c r="D377" t="s">
        <v>548</v>
      </c>
    </row>
    <row r="378" spans="2:4" x14ac:dyDescent="0.3">
      <c r="B378" t="s">
        <v>217</v>
      </c>
      <c r="C378" t="s">
        <v>318</v>
      </c>
      <c r="D378" t="s">
        <v>525</v>
      </c>
    </row>
    <row r="379" spans="2:4" x14ac:dyDescent="0.3">
      <c r="B379" t="s">
        <v>222</v>
      </c>
      <c r="C379" t="s">
        <v>323</v>
      </c>
      <c r="D379" t="s">
        <v>534</v>
      </c>
    </row>
    <row r="380" spans="2:4" x14ac:dyDescent="0.3">
      <c r="B380" t="s">
        <v>78</v>
      </c>
      <c r="C380" t="s">
        <v>283</v>
      </c>
      <c r="D380" t="s">
        <v>527</v>
      </c>
    </row>
    <row r="381" spans="2:4" x14ac:dyDescent="0.3">
      <c r="B381" t="s">
        <v>227</v>
      </c>
      <c r="C381" t="s">
        <v>328</v>
      </c>
      <c r="D381" t="s">
        <v>538</v>
      </c>
    </row>
    <row r="382" spans="2:4" x14ac:dyDescent="0.3">
      <c r="B382" t="s">
        <v>232</v>
      </c>
      <c r="C382" t="s">
        <v>331</v>
      </c>
      <c r="D382" t="s">
        <v>559</v>
      </c>
    </row>
    <row r="383" spans="2:4" x14ac:dyDescent="0.3">
      <c r="B383" t="s">
        <v>233</v>
      </c>
      <c r="C383" t="s">
        <v>332</v>
      </c>
      <c r="D383" t="s">
        <v>558</v>
      </c>
    </row>
    <row r="384" spans="2:4" x14ac:dyDescent="0.3">
      <c r="B384" t="s">
        <v>234</v>
      </c>
      <c r="C384" t="s">
        <v>333</v>
      </c>
      <c r="D384" t="s">
        <v>556</v>
      </c>
    </row>
    <row r="385" spans="2:4" x14ac:dyDescent="0.3">
      <c r="B385" t="s">
        <v>218</v>
      </c>
      <c r="C385" t="s">
        <v>319</v>
      </c>
      <c r="D385" t="s">
        <v>530</v>
      </c>
    </row>
    <row r="386" spans="2:4" x14ac:dyDescent="0.3">
      <c r="B386" t="s">
        <v>235</v>
      </c>
      <c r="C386" t="s">
        <v>334</v>
      </c>
      <c r="D386" t="s">
        <v>557</v>
      </c>
    </row>
    <row r="387" spans="2:4" x14ac:dyDescent="0.3">
      <c r="B387" t="s">
        <v>77</v>
      </c>
      <c r="C387" t="s">
        <v>282</v>
      </c>
      <c r="D387" t="s">
        <v>524</v>
      </c>
    </row>
    <row r="388" spans="2:4" x14ac:dyDescent="0.3">
      <c r="B388" t="s">
        <v>236</v>
      </c>
      <c r="C388" t="s">
        <v>335</v>
      </c>
      <c r="D388" t="s">
        <v>552</v>
      </c>
    </row>
    <row r="389" spans="2:4" x14ac:dyDescent="0.3">
      <c r="B389" t="s">
        <v>237</v>
      </c>
      <c r="C389" t="s">
        <v>336</v>
      </c>
      <c r="D389" t="s">
        <v>560</v>
      </c>
    </row>
    <row r="390" spans="2:4" x14ac:dyDescent="0.3">
      <c r="B390" t="s">
        <v>238</v>
      </c>
      <c r="C390" t="s">
        <v>361</v>
      </c>
      <c r="D390" t="s">
        <v>484</v>
      </c>
    </row>
    <row r="391" spans="2:4" x14ac:dyDescent="0.3">
      <c r="B391" t="s">
        <v>77</v>
      </c>
      <c r="C391" t="s">
        <v>282</v>
      </c>
      <c r="D391" t="s">
        <v>524</v>
      </c>
    </row>
    <row r="392" spans="2:4" x14ac:dyDescent="0.3">
      <c r="B392" t="s">
        <v>231</v>
      </c>
      <c r="C392" t="s">
        <v>330</v>
      </c>
      <c r="D392" t="s">
        <v>540</v>
      </c>
    </row>
    <row r="393" spans="2:4" x14ac:dyDescent="0.3">
      <c r="B393" t="s">
        <v>226</v>
      </c>
      <c r="C393" t="s">
        <v>327</v>
      </c>
      <c r="D393" t="s">
        <v>548</v>
      </c>
    </row>
    <row r="394" spans="2:4" x14ac:dyDescent="0.3">
      <c r="B394" t="s">
        <v>217</v>
      </c>
      <c r="C394" t="s">
        <v>318</v>
      </c>
      <c r="D394" t="s">
        <v>525</v>
      </c>
    </row>
    <row r="395" spans="2:4" x14ac:dyDescent="0.3">
      <c r="B395" t="s">
        <v>222</v>
      </c>
      <c r="C395" t="s">
        <v>323</v>
      </c>
      <c r="D395" t="s">
        <v>534</v>
      </c>
    </row>
    <row r="396" spans="2:4" x14ac:dyDescent="0.3">
      <c r="B396" t="s">
        <v>78</v>
      </c>
      <c r="C396" t="s">
        <v>283</v>
      </c>
      <c r="D396" t="s">
        <v>527</v>
      </c>
    </row>
    <row r="397" spans="2:4" x14ac:dyDescent="0.3">
      <c r="B397" t="s">
        <v>227</v>
      </c>
      <c r="C397" t="s">
        <v>328</v>
      </c>
      <c r="D397" t="s">
        <v>538</v>
      </c>
    </row>
    <row r="398" spans="2:4" x14ac:dyDescent="0.3">
      <c r="B398" t="s">
        <v>232</v>
      </c>
      <c r="C398" t="s">
        <v>331</v>
      </c>
      <c r="D398" t="s">
        <v>559</v>
      </c>
    </row>
    <row r="399" spans="2:4" x14ac:dyDescent="0.3">
      <c r="B399" t="s">
        <v>233</v>
      </c>
      <c r="C399" t="s">
        <v>332</v>
      </c>
      <c r="D399" t="s">
        <v>558</v>
      </c>
    </row>
    <row r="400" spans="2:4" x14ac:dyDescent="0.3">
      <c r="B400" t="s">
        <v>234</v>
      </c>
      <c r="C400" t="s">
        <v>333</v>
      </c>
      <c r="D400" t="s">
        <v>556</v>
      </c>
    </row>
    <row r="401" spans="2:4" x14ac:dyDescent="0.3">
      <c r="B401" t="s">
        <v>218</v>
      </c>
      <c r="C401" t="s">
        <v>319</v>
      </c>
      <c r="D401" t="s">
        <v>530</v>
      </c>
    </row>
    <row r="402" spans="2:4" x14ac:dyDescent="0.3">
      <c r="B402" t="s">
        <v>235</v>
      </c>
      <c r="C402" t="s">
        <v>334</v>
      </c>
      <c r="D402" t="s">
        <v>557</v>
      </c>
    </row>
    <row r="403" spans="2:4" x14ac:dyDescent="0.3">
      <c r="B403" t="s">
        <v>236</v>
      </c>
      <c r="C403" t="s">
        <v>335</v>
      </c>
      <c r="D403" t="s">
        <v>552</v>
      </c>
    </row>
    <row r="404" spans="2:4" x14ac:dyDescent="0.3">
      <c r="B404" t="s">
        <v>237</v>
      </c>
      <c r="C404" t="s">
        <v>336</v>
      </c>
      <c r="D404" t="s">
        <v>560</v>
      </c>
    </row>
    <row r="405" spans="2:4" x14ac:dyDescent="0.3">
      <c r="B405" t="s">
        <v>238</v>
      </c>
      <c r="C405" t="s">
        <v>361</v>
      </c>
      <c r="D405" t="s">
        <v>484</v>
      </c>
    </row>
    <row r="406" spans="2:4" x14ac:dyDescent="0.3">
      <c r="B406" t="s">
        <v>78</v>
      </c>
      <c r="C406" t="s">
        <v>283</v>
      </c>
      <c r="D406" t="s">
        <v>527</v>
      </c>
    </row>
    <row r="407" spans="2:4" x14ac:dyDescent="0.3">
      <c r="B407" t="s">
        <v>239</v>
      </c>
      <c r="C407" t="s">
        <v>306</v>
      </c>
      <c r="D407" t="s">
        <v>480</v>
      </c>
    </row>
    <row r="408" spans="2:4" x14ac:dyDescent="0.3">
      <c r="B408" t="s">
        <v>216</v>
      </c>
      <c r="C408" t="s">
        <v>317</v>
      </c>
      <c r="D408" t="s">
        <v>521</v>
      </c>
    </row>
    <row r="409" spans="2:4" x14ac:dyDescent="0.3">
      <c r="B409" t="s">
        <v>210</v>
      </c>
      <c r="C409" t="s">
        <v>315</v>
      </c>
      <c r="D409" t="s">
        <v>520</v>
      </c>
    </row>
    <row r="410" spans="2:4" x14ac:dyDescent="0.3">
      <c r="B410" t="s">
        <v>229</v>
      </c>
      <c r="C410" t="s">
        <v>385</v>
      </c>
      <c r="D410" t="s">
        <v>474</v>
      </c>
    </row>
    <row r="411" spans="2:4" x14ac:dyDescent="0.3">
      <c r="B411" t="s">
        <v>240</v>
      </c>
      <c r="C411" t="s">
        <v>387</v>
      </c>
      <c r="D411" t="s">
        <v>499</v>
      </c>
    </row>
    <row r="412" spans="2:4" x14ac:dyDescent="0.3">
      <c r="B412" t="s">
        <v>219</v>
      </c>
      <c r="C412" t="s">
        <v>320</v>
      </c>
      <c r="D412" t="s">
        <v>531</v>
      </c>
    </row>
    <row r="413" spans="2:4" x14ac:dyDescent="0.3">
      <c r="B413" t="s">
        <v>218</v>
      </c>
      <c r="C413" t="s">
        <v>319</v>
      </c>
      <c r="D413" t="s">
        <v>530</v>
      </c>
    </row>
    <row r="414" spans="2:4" x14ac:dyDescent="0.3">
      <c r="B414" t="s">
        <v>231</v>
      </c>
      <c r="C414" t="s">
        <v>330</v>
      </c>
      <c r="D414" t="s">
        <v>540</v>
      </c>
    </row>
    <row r="415" spans="2:4" x14ac:dyDescent="0.3">
      <c r="B415" t="s">
        <v>230</v>
      </c>
      <c r="C415" t="s">
        <v>386</v>
      </c>
      <c r="D415" t="s">
        <v>482</v>
      </c>
    </row>
    <row r="416" spans="2:4" x14ac:dyDescent="0.3">
      <c r="B416" t="s">
        <v>223</v>
      </c>
      <c r="C416" t="s">
        <v>324</v>
      </c>
      <c r="D416" t="s">
        <v>535</v>
      </c>
    </row>
    <row r="417" spans="2:4" x14ac:dyDescent="0.3">
      <c r="B417" t="s">
        <v>233</v>
      </c>
      <c r="C417" t="s">
        <v>332</v>
      </c>
      <c r="D417" t="s">
        <v>558</v>
      </c>
    </row>
    <row r="418" spans="2:4" x14ac:dyDescent="0.3">
      <c r="B418" t="s">
        <v>106</v>
      </c>
      <c r="C418" t="s">
        <v>375</v>
      </c>
      <c r="D418" t="s">
        <v>409</v>
      </c>
    </row>
    <row r="419" spans="2:4" x14ac:dyDescent="0.3">
      <c r="B419" t="s">
        <v>241</v>
      </c>
      <c r="C419" t="s">
        <v>388</v>
      </c>
      <c r="D419" t="s">
        <v>401</v>
      </c>
    </row>
    <row r="420" spans="2:4" x14ac:dyDescent="0.3">
      <c r="B420" t="s">
        <v>242</v>
      </c>
      <c r="C420" t="s">
        <v>337</v>
      </c>
      <c r="D420" t="s">
        <v>509</v>
      </c>
    </row>
    <row r="421" spans="2:4" x14ac:dyDescent="0.3">
      <c r="B421" t="s">
        <v>243</v>
      </c>
      <c r="C421" t="s">
        <v>389</v>
      </c>
      <c r="D421" t="s">
        <v>397</v>
      </c>
    </row>
    <row r="422" spans="2:4" x14ac:dyDescent="0.3">
      <c r="B422" t="s">
        <v>244</v>
      </c>
      <c r="C422" t="s">
        <v>338</v>
      </c>
      <c r="D422" t="s">
        <v>505</v>
      </c>
    </row>
    <row r="423" spans="2:4" x14ac:dyDescent="0.3">
      <c r="B423" t="s">
        <v>77</v>
      </c>
      <c r="C423" t="s">
        <v>282</v>
      </c>
      <c r="D423" t="s">
        <v>524</v>
      </c>
    </row>
    <row r="424" spans="2:4" x14ac:dyDescent="0.3">
      <c r="B424" t="s">
        <v>245</v>
      </c>
      <c r="C424" t="s">
        <v>388</v>
      </c>
      <c r="D424" t="s">
        <v>401</v>
      </c>
    </row>
    <row r="425" spans="2:4" x14ac:dyDescent="0.3">
      <c r="B425" t="s">
        <v>246</v>
      </c>
      <c r="C425" t="s">
        <v>341</v>
      </c>
      <c r="D425" t="s">
        <v>496</v>
      </c>
    </row>
    <row r="426" spans="2:4" x14ac:dyDescent="0.3">
      <c r="B426" t="s">
        <v>247</v>
      </c>
      <c r="C426" t="s">
        <v>287</v>
      </c>
      <c r="D426" t="s">
        <v>477</v>
      </c>
    </row>
    <row r="427" spans="2:4" x14ac:dyDescent="0.3">
      <c r="B427" t="s">
        <v>248</v>
      </c>
      <c r="C427" t="s">
        <v>390</v>
      </c>
      <c r="D427" t="s">
        <v>396</v>
      </c>
    </row>
    <row r="428" spans="2:4" x14ac:dyDescent="0.3">
      <c r="B428" t="s">
        <v>249</v>
      </c>
      <c r="C428" t="s">
        <v>339</v>
      </c>
      <c r="D428" t="s">
        <v>508</v>
      </c>
    </row>
    <row r="429" spans="2:4" x14ac:dyDescent="0.3">
      <c r="B429" t="s">
        <v>250</v>
      </c>
      <c r="C429" t="s">
        <v>286</v>
      </c>
      <c r="D429" t="s">
        <v>481</v>
      </c>
    </row>
    <row r="430" spans="2:4" x14ac:dyDescent="0.3">
      <c r="B430" t="s">
        <v>251</v>
      </c>
      <c r="C430" t="s">
        <v>388</v>
      </c>
      <c r="D430" t="s">
        <v>401</v>
      </c>
    </row>
    <row r="431" spans="2:4" x14ac:dyDescent="0.3">
      <c r="B431" t="s">
        <v>252</v>
      </c>
      <c r="C431" t="s">
        <v>340</v>
      </c>
      <c r="D431" t="s">
        <v>504</v>
      </c>
    </row>
    <row r="432" spans="2:4" x14ac:dyDescent="0.3">
      <c r="B432" t="s">
        <v>253</v>
      </c>
      <c r="C432" s="1" t="s">
        <v>435</v>
      </c>
      <c r="D432" t="s">
        <v>434</v>
      </c>
    </row>
    <row r="433" spans="2:4" x14ac:dyDescent="0.3">
      <c r="B433" t="s">
        <v>254</v>
      </c>
      <c r="C433" t="s">
        <v>360</v>
      </c>
      <c r="D433" t="s">
        <v>495</v>
      </c>
    </row>
    <row r="434" spans="2:4" x14ac:dyDescent="0.3">
      <c r="B434" t="s">
        <v>244</v>
      </c>
      <c r="C434" t="s">
        <v>338</v>
      </c>
      <c r="D434" t="s">
        <v>505</v>
      </c>
    </row>
    <row r="435" spans="2:4" x14ac:dyDescent="0.3">
      <c r="B435" t="s">
        <v>242</v>
      </c>
      <c r="C435" t="s">
        <v>337</v>
      </c>
      <c r="D435" t="s">
        <v>509</v>
      </c>
    </row>
    <row r="436" spans="2:4" x14ac:dyDescent="0.3">
      <c r="B436" t="s">
        <v>242</v>
      </c>
      <c r="C436" t="s">
        <v>337</v>
      </c>
      <c r="D436" t="s">
        <v>509</v>
      </c>
    </row>
    <row r="437" spans="2:4" x14ac:dyDescent="0.3">
      <c r="B437" t="s">
        <v>255</v>
      </c>
      <c r="C437" t="s">
        <v>341</v>
      </c>
      <c r="D437" t="s">
        <v>496</v>
      </c>
    </row>
    <row r="438" spans="2:4" x14ac:dyDescent="0.3">
      <c r="B438" t="s">
        <v>256</v>
      </c>
      <c r="C438" t="s">
        <v>342</v>
      </c>
      <c r="D438" t="s">
        <v>511</v>
      </c>
    </row>
    <row r="439" spans="2:4" x14ac:dyDescent="0.3">
      <c r="B439" t="s">
        <v>257</v>
      </c>
      <c r="C439" t="s">
        <v>391</v>
      </c>
      <c r="D439" t="s">
        <v>398</v>
      </c>
    </row>
    <row r="440" spans="2:4" x14ac:dyDescent="0.3">
      <c r="B440" t="s">
        <v>258</v>
      </c>
      <c r="C440" t="s">
        <v>343</v>
      </c>
      <c r="D440" t="s">
        <v>488</v>
      </c>
    </row>
    <row r="441" spans="2:4" x14ac:dyDescent="0.3">
      <c r="B441" t="s">
        <v>259</v>
      </c>
      <c r="C441" t="s">
        <v>392</v>
      </c>
      <c r="D441" t="s">
        <v>395</v>
      </c>
    </row>
    <row r="442" spans="2:4" x14ac:dyDescent="0.3">
      <c r="B442" t="s">
        <v>260</v>
      </c>
      <c r="C442" s="1" t="s">
        <v>436</v>
      </c>
      <c r="D442" t="s">
        <v>417</v>
      </c>
    </row>
    <row r="443" spans="2:4" x14ac:dyDescent="0.3">
      <c r="B443" t="s">
        <v>261</v>
      </c>
      <c r="C443" t="s">
        <v>354</v>
      </c>
      <c r="D443" t="s">
        <v>483</v>
      </c>
    </row>
    <row r="444" spans="2:4" x14ac:dyDescent="0.3">
      <c r="B444" t="s">
        <v>243</v>
      </c>
      <c r="C444" t="s">
        <v>389</v>
      </c>
      <c r="D444" t="s">
        <v>397</v>
      </c>
    </row>
    <row r="445" spans="2:4" x14ac:dyDescent="0.3">
      <c r="B445" t="s">
        <v>262</v>
      </c>
      <c r="C445" t="s">
        <v>393</v>
      </c>
      <c r="D445" t="s">
        <v>399</v>
      </c>
    </row>
    <row r="446" spans="2:4" x14ac:dyDescent="0.3">
      <c r="B446" t="s">
        <v>263</v>
      </c>
      <c r="C446" s="1" t="s">
        <v>437</v>
      </c>
      <c r="D446" t="s">
        <v>512</v>
      </c>
    </row>
    <row r="447" spans="2:4" x14ac:dyDescent="0.3">
      <c r="B447" t="s">
        <v>264</v>
      </c>
      <c r="C447" t="s">
        <v>388</v>
      </c>
      <c r="D447" t="s">
        <v>401</v>
      </c>
    </row>
    <row r="448" spans="2:4" x14ac:dyDescent="0.3">
      <c r="B448" t="s">
        <v>264</v>
      </c>
      <c r="C448" t="s">
        <v>388</v>
      </c>
      <c r="D448" t="s">
        <v>401</v>
      </c>
    </row>
    <row r="449" spans="2:4" x14ac:dyDescent="0.3">
      <c r="B449" t="s">
        <v>265</v>
      </c>
      <c r="C449" t="s">
        <v>389</v>
      </c>
      <c r="D449" t="s">
        <v>397</v>
      </c>
    </row>
    <row r="450" spans="2:4" x14ac:dyDescent="0.3">
      <c r="B450" t="s">
        <v>252</v>
      </c>
      <c r="C450" t="s">
        <v>340</v>
      </c>
      <c r="D450" t="s">
        <v>504</v>
      </c>
    </row>
    <row r="451" spans="2:4" x14ac:dyDescent="0.3">
      <c r="B451" t="s">
        <v>252</v>
      </c>
      <c r="C451" t="s">
        <v>340</v>
      </c>
      <c r="D451" t="s">
        <v>504</v>
      </c>
    </row>
    <row r="452" spans="2:4" x14ac:dyDescent="0.3">
      <c r="B452" t="s">
        <v>252</v>
      </c>
      <c r="C452" t="s">
        <v>340</v>
      </c>
      <c r="D452" t="s">
        <v>504</v>
      </c>
    </row>
    <row r="453" spans="2:4" x14ac:dyDescent="0.3">
      <c r="B453" t="s">
        <v>244</v>
      </c>
      <c r="C453" t="s">
        <v>338</v>
      </c>
      <c r="D453" t="s">
        <v>505</v>
      </c>
    </row>
    <row r="454" spans="2:4" x14ac:dyDescent="0.3">
      <c r="B454" t="s">
        <v>244</v>
      </c>
      <c r="C454" t="s">
        <v>338</v>
      </c>
      <c r="D454" t="s">
        <v>505</v>
      </c>
    </row>
    <row r="455" spans="2:4" x14ac:dyDescent="0.3">
      <c r="B455" t="s">
        <v>244</v>
      </c>
      <c r="C455" t="s">
        <v>338</v>
      </c>
      <c r="D455" t="s">
        <v>505</v>
      </c>
    </row>
    <row r="456" spans="2:4" x14ac:dyDescent="0.3">
      <c r="B456" t="s">
        <v>266</v>
      </c>
      <c r="C456" t="s">
        <v>344</v>
      </c>
      <c r="D456" t="s">
        <v>507</v>
      </c>
    </row>
    <row r="457" spans="2:4" x14ac:dyDescent="0.3">
      <c r="B457" t="s">
        <v>266</v>
      </c>
      <c r="C457" t="s">
        <v>344</v>
      </c>
      <c r="D457" t="s">
        <v>507</v>
      </c>
    </row>
    <row r="458" spans="2:4" x14ac:dyDescent="0.3">
      <c r="B458" t="s">
        <v>267</v>
      </c>
      <c r="C458" t="s">
        <v>345</v>
      </c>
      <c r="D458" t="s">
        <v>510</v>
      </c>
    </row>
    <row r="459" spans="2:4" x14ac:dyDescent="0.3">
      <c r="B459" t="s">
        <v>267</v>
      </c>
      <c r="C459" t="s">
        <v>345</v>
      </c>
      <c r="D459" t="s">
        <v>510</v>
      </c>
    </row>
    <row r="460" spans="2:4" x14ac:dyDescent="0.3">
      <c r="B460" t="s">
        <v>256</v>
      </c>
      <c r="C460" t="s">
        <v>342</v>
      </c>
      <c r="D460" t="s">
        <v>511</v>
      </c>
    </row>
    <row r="461" spans="2:4" x14ac:dyDescent="0.3">
      <c r="B461" t="s">
        <v>268</v>
      </c>
      <c r="C461" t="s">
        <v>285</v>
      </c>
      <c r="D461" t="s">
        <v>476</v>
      </c>
    </row>
    <row r="462" spans="2:4" x14ac:dyDescent="0.3">
      <c r="B462" t="s">
        <v>269</v>
      </c>
      <c r="C462" t="s">
        <v>438</v>
      </c>
      <c r="D462" t="s">
        <v>501</v>
      </c>
    </row>
    <row r="463" spans="2:4" x14ac:dyDescent="0.3">
      <c r="B463" t="s">
        <v>270</v>
      </c>
      <c r="C463" t="s">
        <v>439</v>
      </c>
      <c r="D463" t="s">
        <v>500</v>
      </c>
    </row>
    <row r="464" spans="2:4" x14ac:dyDescent="0.3">
      <c r="B464" t="s">
        <v>271</v>
      </c>
      <c r="C464" t="s">
        <v>289</v>
      </c>
      <c r="D464" t="s">
        <v>494</v>
      </c>
    </row>
    <row r="465" spans="2:4" x14ac:dyDescent="0.3">
      <c r="B465" t="s">
        <v>126</v>
      </c>
      <c r="C465" t="s">
        <v>380</v>
      </c>
      <c r="D465" t="s">
        <v>415</v>
      </c>
    </row>
    <row r="466" spans="2:4" x14ac:dyDescent="0.3">
      <c r="B466" t="s">
        <v>226</v>
      </c>
      <c r="C466" t="s">
        <v>327</v>
      </c>
      <c r="D466" t="s">
        <v>548</v>
      </c>
    </row>
    <row r="467" spans="2:4" x14ac:dyDescent="0.3">
      <c r="B467" t="s">
        <v>272</v>
      </c>
      <c r="C467" t="s">
        <v>346</v>
      </c>
      <c r="D467" t="s">
        <v>563</v>
      </c>
    </row>
    <row r="468" spans="2:4" x14ac:dyDescent="0.3">
      <c r="B468" t="s">
        <v>78</v>
      </c>
      <c r="C468" t="s">
        <v>283</v>
      </c>
      <c r="D468" t="s">
        <v>527</v>
      </c>
    </row>
    <row r="469" spans="2:4" x14ac:dyDescent="0.3">
      <c r="B469" t="s">
        <v>273</v>
      </c>
      <c r="C469" t="s">
        <v>377</v>
      </c>
      <c r="D469" t="s">
        <v>416</v>
      </c>
    </row>
    <row r="470" spans="2:4" x14ac:dyDescent="0.3">
      <c r="B470" t="s">
        <v>147</v>
      </c>
      <c r="C470" t="s">
        <v>304</v>
      </c>
      <c r="D470" t="s">
        <v>529</v>
      </c>
    </row>
    <row r="471" spans="2:4" x14ac:dyDescent="0.3">
      <c r="B471" t="s">
        <v>274</v>
      </c>
      <c r="C471" t="s">
        <v>332</v>
      </c>
      <c r="D471" t="s">
        <v>558</v>
      </c>
    </row>
    <row r="472" spans="2:4" x14ac:dyDescent="0.3">
      <c r="B472" t="s">
        <v>222</v>
      </c>
      <c r="C472" t="s">
        <v>323</v>
      </c>
      <c r="D472" t="s">
        <v>534</v>
      </c>
    </row>
    <row r="473" spans="2:4" x14ac:dyDescent="0.3">
      <c r="B473" t="s">
        <v>227</v>
      </c>
      <c r="C473" t="s">
        <v>328</v>
      </c>
      <c r="D473" t="s">
        <v>538</v>
      </c>
    </row>
    <row r="474" spans="2:4" x14ac:dyDescent="0.3">
      <c r="B474" t="s">
        <v>275</v>
      </c>
      <c r="C474" t="s">
        <v>322</v>
      </c>
      <c r="D474" t="s">
        <v>533</v>
      </c>
    </row>
    <row r="475" spans="2:4" x14ac:dyDescent="0.3">
      <c r="B475" t="s">
        <v>276</v>
      </c>
      <c r="C475" t="s">
        <v>318</v>
      </c>
      <c r="D475" t="s">
        <v>525</v>
      </c>
    </row>
    <row r="476" spans="2:4" x14ac:dyDescent="0.3">
      <c r="B476" t="s">
        <v>107</v>
      </c>
      <c r="C476" t="s">
        <v>292</v>
      </c>
      <c r="D476" t="s">
        <v>526</v>
      </c>
    </row>
    <row r="477" spans="2:4" x14ac:dyDescent="0.3">
      <c r="B477" t="s">
        <v>77</v>
      </c>
      <c r="C477" t="s">
        <v>282</v>
      </c>
      <c r="D477" t="s">
        <v>524</v>
      </c>
    </row>
    <row r="478" spans="2:4" x14ac:dyDescent="0.3">
      <c r="B478" t="s">
        <v>77</v>
      </c>
      <c r="C478" t="s">
        <v>282</v>
      </c>
      <c r="D478" t="s">
        <v>524</v>
      </c>
    </row>
    <row r="479" spans="2:4" x14ac:dyDescent="0.3">
      <c r="B479" t="s">
        <v>218</v>
      </c>
      <c r="C479" t="s">
        <v>319</v>
      </c>
      <c r="D479" t="s">
        <v>530</v>
      </c>
    </row>
    <row r="480" spans="2:4" x14ac:dyDescent="0.3">
      <c r="B480" t="s">
        <v>78</v>
      </c>
      <c r="C480" t="s">
        <v>283</v>
      </c>
      <c r="D480" t="s">
        <v>527</v>
      </c>
    </row>
    <row r="481" spans="1:4" x14ac:dyDescent="0.3">
      <c r="B481" t="s">
        <v>223</v>
      </c>
      <c r="C481" t="s">
        <v>324</v>
      </c>
      <c r="D481" t="s">
        <v>535</v>
      </c>
    </row>
    <row r="482" spans="1:4" x14ac:dyDescent="0.3">
      <c r="B482" t="s">
        <v>219</v>
      </c>
      <c r="C482" t="s">
        <v>320</v>
      </c>
      <c r="D482" t="s">
        <v>531</v>
      </c>
    </row>
    <row r="483" spans="1:4" x14ac:dyDescent="0.3">
      <c r="B483" t="s">
        <v>222</v>
      </c>
      <c r="C483" t="s">
        <v>323</v>
      </c>
      <c r="D483" t="s">
        <v>534</v>
      </c>
    </row>
    <row r="484" spans="1:4" x14ac:dyDescent="0.3">
      <c r="B484" t="s">
        <v>111</v>
      </c>
      <c r="C484" t="s">
        <v>295</v>
      </c>
      <c r="D484" t="s">
        <v>516</v>
      </c>
    </row>
    <row r="485" spans="1:4" x14ac:dyDescent="0.3">
      <c r="B485" t="s">
        <v>277</v>
      </c>
      <c r="C485" t="s">
        <v>347</v>
      </c>
      <c r="D485" t="s">
        <v>491</v>
      </c>
    </row>
    <row r="486" spans="1:4" x14ac:dyDescent="0.3">
      <c r="B486" t="s">
        <v>210</v>
      </c>
      <c r="C486" t="s">
        <v>315</v>
      </c>
      <c r="D486" t="s">
        <v>520</v>
      </c>
    </row>
    <row r="487" spans="1:4" x14ac:dyDescent="0.3">
      <c r="B487" t="s">
        <v>217</v>
      </c>
      <c r="C487" t="s">
        <v>318</v>
      </c>
      <c r="D487" t="s">
        <v>525</v>
      </c>
    </row>
    <row r="488" spans="1:4" x14ac:dyDescent="0.3">
      <c r="B488" t="s">
        <v>77</v>
      </c>
      <c r="C488" t="s">
        <v>282</v>
      </c>
      <c r="D488" t="s">
        <v>524</v>
      </c>
    </row>
    <row r="489" spans="1:4" x14ac:dyDescent="0.3">
      <c r="B489" t="s">
        <v>147</v>
      </c>
      <c r="C489" t="s">
        <v>304</v>
      </c>
      <c r="D489" t="s">
        <v>529</v>
      </c>
    </row>
    <row r="490" spans="1:4" x14ac:dyDescent="0.3">
      <c r="B490" t="s">
        <v>278</v>
      </c>
      <c r="C490" t="s">
        <v>349</v>
      </c>
      <c r="D490" t="s">
        <v>547</v>
      </c>
    </row>
    <row r="491" spans="1:4" x14ac:dyDescent="0.3">
      <c r="B491" t="s">
        <v>279</v>
      </c>
      <c r="C491" t="s">
        <v>441</v>
      </c>
      <c r="D491" t="s">
        <v>429</v>
      </c>
    </row>
    <row r="492" spans="1:4" x14ac:dyDescent="0.3">
      <c r="A492" t="s">
        <v>442</v>
      </c>
      <c r="B492" t="s">
        <v>443</v>
      </c>
      <c r="C492" t="s">
        <v>283</v>
      </c>
      <c r="D492" t="s">
        <v>527</v>
      </c>
    </row>
    <row r="493" spans="1:4" x14ac:dyDescent="0.3">
      <c r="A493" t="s">
        <v>444</v>
      </c>
      <c r="B493" t="s">
        <v>445</v>
      </c>
      <c r="C493" t="s">
        <v>321</v>
      </c>
      <c r="D493" t="s">
        <v>532</v>
      </c>
    </row>
    <row r="494" spans="1:4" x14ac:dyDescent="0.3">
      <c r="A494" t="s">
        <v>448</v>
      </c>
      <c r="B494" t="s">
        <v>447</v>
      </c>
      <c r="C494" t="s">
        <v>446</v>
      </c>
      <c r="D494" t="s">
        <v>498</v>
      </c>
    </row>
    <row r="495" spans="1:4" x14ac:dyDescent="0.3">
      <c r="A495" t="s">
        <v>450</v>
      </c>
      <c r="B495" t="s">
        <v>451</v>
      </c>
      <c r="C495" t="s">
        <v>449</v>
      </c>
      <c r="D495" t="s">
        <v>565</v>
      </c>
    </row>
    <row r="496" spans="1:4" x14ac:dyDescent="0.3">
      <c r="A496" t="s">
        <v>452</v>
      </c>
      <c r="B496" t="s">
        <v>453</v>
      </c>
      <c r="C496" t="s">
        <v>333</v>
      </c>
      <c r="D496" t="s">
        <v>556</v>
      </c>
    </row>
    <row r="497" spans="1:4" x14ac:dyDescent="0.3">
      <c r="A497" t="s">
        <v>454</v>
      </c>
      <c r="B497" t="s">
        <v>455</v>
      </c>
      <c r="C497" t="s">
        <v>298</v>
      </c>
      <c r="D497" t="s">
        <v>542</v>
      </c>
    </row>
    <row r="498" spans="1:4" x14ac:dyDescent="0.3">
      <c r="A498" t="s">
        <v>456</v>
      </c>
      <c r="B498" t="s">
        <v>457</v>
      </c>
      <c r="C498" t="s">
        <v>286</v>
      </c>
      <c r="D498" t="s">
        <v>481</v>
      </c>
    </row>
    <row r="499" spans="1:4" x14ac:dyDescent="0.3">
      <c r="A499" t="s">
        <v>458</v>
      </c>
      <c r="B499" t="s">
        <v>459</v>
      </c>
      <c r="C499" t="s">
        <v>285</v>
      </c>
      <c r="D499" t="s">
        <v>476</v>
      </c>
    </row>
    <row r="500" spans="1:4" x14ac:dyDescent="0.3">
      <c r="A500" t="s">
        <v>460</v>
      </c>
      <c r="B500" t="s">
        <v>461</v>
      </c>
      <c r="C500" t="s">
        <v>297</v>
      </c>
      <c r="D500" t="s">
        <v>543</v>
      </c>
    </row>
    <row r="501" spans="1:4" x14ac:dyDescent="0.3">
      <c r="A501" t="s">
        <v>462</v>
      </c>
      <c r="B501" t="s">
        <v>463</v>
      </c>
      <c r="C501" t="s">
        <v>293</v>
      </c>
      <c r="D501" t="s">
        <v>528</v>
      </c>
    </row>
    <row r="502" spans="1:4" x14ac:dyDescent="0.3">
      <c r="A502" t="s">
        <v>465</v>
      </c>
      <c r="B502" t="s">
        <v>464</v>
      </c>
      <c r="C502" t="s">
        <v>352</v>
      </c>
      <c r="D502" t="s">
        <v>544</v>
      </c>
    </row>
    <row r="503" spans="1:4" x14ac:dyDescent="0.3">
      <c r="A503" t="s">
        <v>466</v>
      </c>
      <c r="B503" t="s">
        <v>467</v>
      </c>
      <c r="C503" t="s">
        <v>304</v>
      </c>
      <c r="D503" t="s">
        <v>529</v>
      </c>
    </row>
    <row r="504" spans="1:4" x14ac:dyDescent="0.3">
      <c r="A504" t="s">
        <v>468</v>
      </c>
      <c r="B504" t="s">
        <v>469</v>
      </c>
      <c r="C504" t="s">
        <v>286</v>
      </c>
      <c r="D504" t="s">
        <v>481</v>
      </c>
    </row>
    <row r="505" spans="1:4" x14ac:dyDescent="0.3">
      <c r="A505" t="s">
        <v>470</v>
      </c>
      <c r="B505" t="s">
        <v>471</v>
      </c>
      <c r="C505" t="s">
        <v>350</v>
      </c>
      <c r="D505" t="s">
        <v>519</v>
      </c>
    </row>
    <row r="506" spans="1:4" x14ac:dyDescent="0.3">
      <c r="A506" t="s">
        <v>472</v>
      </c>
      <c r="B506" t="s">
        <v>473</v>
      </c>
      <c r="C506" t="s">
        <v>343</v>
      </c>
      <c r="D506" t="s">
        <v>488</v>
      </c>
    </row>
  </sheetData>
  <dataValidations count="3">
    <dataValidation allowBlank="1" showInputMessage="1" prompt="Use bullet-point1 to bullet-point 5 to provide short sentences that summarise your product. A customer should be able to understand from these sentences what your product does, and may then decide to read the product description for more detail. Keep t..." sqref="B1" xr:uid="{00000000-0002-0000-0100-000000000000}"/>
    <dataValidation allowBlank="1" showInputMessage="1" prompt="Search terms that describe your product: no repetition, no competitor brand names or ASINs." sqref="D1" xr:uid="{00000000-0002-0000-0100-000001000000}"/>
    <dataValidation allowBlank="1" showInputMessage="1" sqref="B470:C491 C346:C406 C2:C81 C83:C199 C201:C344 B2:B469 C408:C431 C433:C441 C443:C445 C447:C468" xr:uid="{00000000-0002-0000-0100-000002000000}"/>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533"/>
  <sheetViews>
    <sheetView topLeftCell="A508" workbookViewId="0">
      <selection activeCell="D522" sqref="D522"/>
    </sheetView>
  </sheetViews>
  <sheetFormatPr defaultRowHeight="14.4" x14ac:dyDescent="0.3"/>
  <cols>
    <col min="1" max="1" width="42" bestFit="1" customWidth="1"/>
  </cols>
  <sheetData>
    <row r="1" spans="1:1" x14ac:dyDescent="0.3">
      <c r="A1" s="6" t="s">
        <v>1178</v>
      </c>
    </row>
    <row r="2" spans="1:1" x14ac:dyDescent="0.3">
      <c r="A2" t="s">
        <v>682</v>
      </c>
    </row>
    <row r="3" spans="1:1" x14ac:dyDescent="0.3">
      <c r="A3" t="s">
        <v>712</v>
      </c>
    </row>
    <row r="4" spans="1:1" x14ac:dyDescent="0.3">
      <c r="A4" t="s">
        <v>996</v>
      </c>
    </row>
    <row r="5" spans="1:1" x14ac:dyDescent="0.3">
      <c r="A5" t="s">
        <v>700</v>
      </c>
    </row>
    <row r="6" spans="1:1" x14ac:dyDescent="0.3">
      <c r="A6" t="s">
        <v>728</v>
      </c>
    </row>
    <row r="7" spans="1:1" x14ac:dyDescent="0.3">
      <c r="A7" t="s">
        <v>662</v>
      </c>
    </row>
    <row r="8" spans="1:1" x14ac:dyDescent="0.3">
      <c r="A8" t="s">
        <v>675</v>
      </c>
    </row>
    <row r="9" spans="1:1" x14ac:dyDescent="0.3">
      <c r="A9" t="s">
        <v>1148</v>
      </c>
    </row>
    <row r="10" spans="1:1" x14ac:dyDescent="0.3">
      <c r="A10" t="s">
        <v>947</v>
      </c>
    </row>
    <row r="11" spans="1:1" x14ac:dyDescent="0.3">
      <c r="A11" t="s">
        <v>661</v>
      </c>
    </row>
    <row r="12" spans="1:1" x14ac:dyDescent="0.3">
      <c r="A12" t="s">
        <v>787</v>
      </c>
    </row>
    <row r="13" spans="1:1" x14ac:dyDescent="0.3">
      <c r="A13" t="s">
        <v>744</v>
      </c>
    </row>
    <row r="14" spans="1:1" x14ac:dyDescent="0.3">
      <c r="A14" t="s">
        <v>830</v>
      </c>
    </row>
    <row r="15" spans="1:1" x14ac:dyDescent="0.3">
      <c r="A15" t="s">
        <v>904</v>
      </c>
    </row>
    <row r="16" spans="1:1" x14ac:dyDescent="0.3">
      <c r="A16" t="s">
        <v>674</v>
      </c>
    </row>
    <row r="17" spans="1:1" x14ac:dyDescent="0.3">
      <c r="A17" t="s">
        <v>997</v>
      </c>
    </row>
    <row r="18" spans="1:1" x14ac:dyDescent="0.3">
      <c r="A18" t="s">
        <v>1059</v>
      </c>
    </row>
    <row r="19" spans="1:1" x14ac:dyDescent="0.3">
      <c r="A19" t="s">
        <v>1090</v>
      </c>
    </row>
    <row r="20" spans="1:1" x14ac:dyDescent="0.3">
      <c r="A20" t="s">
        <v>1028</v>
      </c>
    </row>
    <row r="21" spans="1:1" x14ac:dyDescent="0.3">
      <c r="A21" t="s">
        <v>1121</v>
      </c>
    </row>
    <row r="22" spans="1:1" x14ac:dyDescent="0.3">
      <c r="A22" t="s">
        <v>953</v>
      </c>
    </row>
    <row r="23" spans="1:1" x14ac:dyDescent="0.3">
      <c r="A23" t="s">
        <v>793</v>
      </c>
    </row>
    <row r="24" spans="1:1" x14ac:dyDescent="0.3">
      <c r="A24" t="s">
        <v>750</v>
      </c>
    </row>
    <row r="25" spans="1:1" x14ac:dyDescent="0.3">
      <c r="A25" t="s">
        <v>836</v>
      </c>
    </row>
    <row r="26" spans="1:1" x14ac:dyDescent="0.3">
      <c r="A26" t="s">
        <v>910</v>
      </c>
    </row>
    <row r="27" spans="1:1" x14ac:dyDescent="0.3">
      <c r="A27" t="s">
        <v>872</v>
      </c>
    </row>
    <row r="28" spans="1:1" x14ac:dyDescent="0.3">
      <c r="A28" t="s">
        <v>1125</v>
      </c>
    </row>
    <row r="29" spans="1:1" x14ac:dyDescent="0.3">
      <c r="A29" t="s">
        <v>1126</v>
      </c>
    </row>
    <row r="30" spans="1:1" x14ac:dyDescent="0.3">
      <c r="A30" t="s">
        <v>1127</v>
      </c>
    </row>
    <row r="31" spans="1:1" x14ac:dyDescent="0.3">
      <c r="A31" t="s">
        <v>998</v>
      </c>
    </row>
    <row r="32" spans="1:1" x14ac:dyDescent="0.3">
      <c r="A32" t="s">
        <v>1060</v>
      </c>
    </row>
    <row r="33" spans="1:1" x14ac:dyDescent="0.3">
      <c r="A33" t="s">
        <v>1091</v>
      </c>
    </row>
    <row r="34" spans="1:1" x14ac:dyDescent="0.3">
      <c r="A34" t="s">
        <v>1029</v>
      </c>
    </row>
    <row r="35" spans="1:1" x14ac:dyDescent="0.3">
      <c r="A35" t="s">
        <v>686</v>
      </c>
    </row>
    <row r="36" spans="1:1" x14ac:dyDescent="0.3">
      <c r="A36" t="s">
        <v>715</v>
      </c>
    </row>
    <row r="37" spans="1:1" x14ac:dyDescent="0.3">
      <c r="A37" t="s">
        <v>984</v>
      </c>
    </row>
    <row r="38" spans="1:1" x14ac:dyDescent="0.3">
      <c r="A38" t="s">
        <v>824</v>
      </c>
    </row>
    <row r="39" spans="1:1" x14ac:dyDescent="0.3">
      <c r="A39" t="s">
        <v>781</v>
      </c>
    </row>
    <row r="40" spans="1:1" x14ac:dyDescent="0.3">
      <c r="A40" t="s">
        <v>867</v>
      </c>
    </row>
    <row r="41" spans="1:1" x14ac:dyDescent="0.3">
      <c r="A41" t="s">
        <v>941</v>
      </c>
    </row>
    <row r="42" spans="1:1" x14ac:dyDescent="0.3">
      <c r="A42" t="s">
        <v>897</v>
      </c>
    </row>
    <row r="43" spans="1:1" x14ac:dyDescent="0.3">
      <c r="A43" t="s">
        <v>1137</v>
      </c>
    </row>
    <row r="44" spans="1:1" x14ac:dyDescent="0.3">
      <c r="A44" t="s">
        <v>653</v>
      </c>
    </row>
    <row r="45" spans="1:1" x14ac:dyDescent="0.3">
      <c r="A45" t="s">
        <v>1141</v>
      </c>
    </row>
    <row r="46" spans="1:1" x14ac:dyDescent="0.3">
      <c r="A46" t="s">
        <v>1144</v>
      </c>
    </row>
    <row r="47" spans="1:1" x14ac:dyDescent="0.3">
      <c r="A47" t="s">
        <v>999</v>
      </c>
    </row>
    <row r="48" spans="1:1" x14ac:dyDescent="0.3">
      <c r="A48" t="s">
        <v>1061</v>
      </c>
    </row>
    <row r="49" spans="1:1" x14ac:dyDescent="0.3">
      <c r="A49" t="s">
        <v>1092</v>
      </c>
    </row>
    <row r="50" spans="1:1" x14ac:dyDescent="0.3">
      <c r="A50" t="s">
        <v>1030</v>
      </c>
    </row>
    <row r="51" spans="1:1" x14ac:dyDescent="0.3">
      <c r="A51" t="s">
        <v>977</v>
      </c>
    </row>
    <row r="52" spans="1:1" x14ac:dyDescent="0.3">
      <c r="A52" t="s">
        <v>817</v>
      </c>
    </row>
    <row r="53" spans="1:1" x14ac:dyDescent="0.3">
      <c r="A53" t="s">
        <v>774</v>
      </c>
    </row>
    <row r="54" spans="1:1" x14ac:dyDescent="0.3">
      <c r="A54" t="s">
        <v>860</v>
      </c>
    </row>
    <row r="55" spans="1:1" x14ac:dyDescent="0.3">
      <c r="A55" t="s">
        <v>934</v>
      </c>
    </row>
    <row r="56" spans="1:1" x14ac:dyDescent="0.3">
      <c r="A56" t="s">
        <v>890</v>
      </c>
    </row>
    <row r="57" spans="1:1" x14ac:dyDescent="0.3">
      <c r="A57" t="s">
        <v>1000</v>
      </c>
    </row>
    <row r="58" spans="1:1" x14ac:dyDescent="0.3">
      <c r="A58" t="s">
        <v>1062</v>
      </c>
    </row>
    <row r="59" spans="1:1" x14ac:dyDescent="0.3">
      <c r="A59" t="s">
        <v>1093</v>
      </c>
    </row>
    <row r="60" spans="1:1" x14ac:dyDescent="0.3">
      <c r="A60" t="s">
        <v>1031</v>
      </c>
    </row>
    <row r="61" spans="1:1" x14ac:dyDescent="0.3">
      <c r="A61" t="s">
        <v>1122</v>
      </c>
    </row>
    <row r="62" spans="1:1" x14ac:dyDescent="0.3">
      <c r="A62" t="s">
        <v>1123</v>
      </c>
    </row>
    <row r="63" spans="1:1" x14ac:dyDescent="0.3">
      <c r="A63" t="s">
        <v>1001</v>
      </c>
    </row>
    <row r="64" spans="1:1" x14ac:dyDescent="0.3">
      <c r="A64" t="s">
        <v>1063</v>
      </c>
    </row>
    <row r="65" spans="1:1" x14ac:dyDescent="0.3">
      <c r="A65" t="s">
        <v>1094</v>
      </c>
    </row>
    <row r="66" spans="1:1" x14ac:dyDescent="0.3">
      <c r="A66" t="s">
        <v>1032</v>
      </c>
    </row>
    <row r="67" spans="1:1" x14ac:dyDescent="0.3">
      <c r="A67" t="s">
        <v>1124</v>
      </c>
    </row>
    <row r="68" spans="1:1" x14ac:dyDescent="0.3">
      <c r="A68" t="s">
        <v>1002</v>
      </c>
    </row>
    <row r="69" spans="1:1" x14ac:dyDescent="0.3">
      <c r="A69" t="s">
        <v>1064</v>
      </c>
    </row>
    <row r="70" spans="1:1" x14ac:dyDescent="0.3">
      <c r="A70" t="s">
        <v>1095</v>
      </c>
    </row>
    <row r="71" spans="1:1" x14ac:dyDescent="0.3">
      <c r="A71" t="s">
        <v>1033</v>
      </c>
    </row>
    <row r="72" spans="1:1" x14ac:dyDescent="0.3">
      <c r="A72" t="s">
        <v>1003</v>
      </c>
    </row>
    <row r="73" spans="1:1" x14ac:dyDescent="0.3">
      <c r="A73" t="s">
        <v>1065</v>
      </c>
    </row>
    <row r="74" spans="1:1" x14ac:dyDescent="0.3">
      <c r="A74" t="s">
        <v>1096</v>
      </c>
    </row>
    <row r="75" spans="1:1" x14ac:dyDescent="0.3">
      <c r="A75" t="s">
        <v>1034</v>
      </c>
    </row>
    <row r="76" spans="1:1" x14ac:dyDescent="0.3">
      <c r="A76" t="s">
        <v>684</v>
      </c>
    </row>
    <row r="77" spans="1:1" x14ac:dyDescent="0.3">
      <c r="A77" t="s">
        <v>714</v>
      </c>
    </row>
    <row r="78" spans="1:1" x14ac:dyDescent="0.3">
      <c r="A78" t="s">
        <v>683</v>
      </c>
    </row>
    <row r="79" spans="1:1" x14ac:dyDescent="0.3">
      <c r="A79" t="s">
        <v>713</v>
      </c>
    </row>
    <row r="80" spans="1:1" x14ac:dyDescent="0.3">
      <c r="A80" t="s">
        <v>685</v>
      </c>
    </row>
    <row r="81" spans="1:1" x14ac:dyDescent="0.3">
      <c r="A81" t="s">
        <v>738</v>
      </c>
    </row>
    <row r="82" spans="1:1" x14ac:dyDescent="0.3">
      <c r="A82" t="s">
        <v>701</v>
      </c>
    </row>
    <row r="83" spans="1:1" x14ac:dyDescent="0.3">
      <c r="A83" t="s">
        <v>729</v>
      </c>
    </row>
    <row r="84" spans="1:1" x14ac:dyDescent="0.3">
      <c r="A84" t="s">
        <v>1131</v>
      </c>
    </row>
    <row r="85" spans="1:1" x14ac:dyDescent="0.3">
      <c r="A85" t="s">
        <v>704</v>
      </c>
    </row>
    <row r="86" spans="1:1" x14ac:dyDescent="0.3">
      <c r="A86" t="s">
        <v>732</v>
      </c>
    </row>
    <row r="87" spans="1:1" x14ac:dyDescent="0.3">
      <c r="A87" t="s">
        <v>1004</v>
      </c>
    </row>
    <row r="88" spans="1:1" x14ac:dyDescent="0.3">
      <c r="A88" t="s">
        <v>1066</v>
      </c>
    </row>
    <row r="89" spans="1:1" x14ac:dyDescent="0.3">
      <c r="A89" t="s">
        <v>1097</v>
      </c>
    </row>
    <row r="90" spans="1:1" x14ac:dyDescent="0.3">
      <c r="A90" t="s">
        <v>1035</v>
      </c>
    </row>
    <row r="91" spans="1:1" x14ac:dyDescent="0.3">
      <c r="A91" t="s">
        <v>1133</v>
      </c>
    </row>
    <row r="92" spans="1:1" x14ac:dyDescent="0.3">
      <c r="A92" t="s">
        <v>1005</v>
      </c>
    </row>
    <row r="93" spans="1:1" x14ac:dyDescent="0.3">
      <c r="A93" t="s">
        <v>1067</v>
      </c>
    </row>
    <row r="94" spans="1:1" x14ac:dyDescent="0.3">
      <c r="A94" t="s">
        <v>1098</v>
      </c>
    </row>
    <row r="95" spans="1:1" x14ac:dyDescent="0.3">
      <c r="A95" t="s">
        <v>1036</v>
      </c>
    </row>
    <row r="96" spans="1:1" x14ac:dyDescent="0.3">
      <c r="A96" t="s">
        <v>709</v>
      </c>
    </row>
    <row r="97" spans="1:1" x14ac:dyDescent="0.3">
      <c r="A97" t="s">
        <v>737</v>
      </c>
    </row>
    <row r="98" spans="1:1" x14ac:dyDescent="0.3">
      <c r="A98" t="s">
        <v>1142</v>
      </c>
    </row>
    <row r="99" spans="1:1" x14ac:dyDescent="0.3">
      <c r="A99" t="s">
        <v>954</v>
      </c>
    </row>
    <row r="100" spans="1:1" x14ac:dyDescent="0.3">
      <c r="A100" t="s">
        <v>794</v>
      </c>
    </row>
    <row r="101" spans="1:1" x14ac:dyDescent="0.3">
      <c r="A101" t="s">
        <v>751</v>
      </c>
    </row>
    <row r="102" spans="1:1" x14ac:dyDescent="0.3">
      <c r="A102" t="s">
        <v>837</v>
      </c>
    </row>
    <row r="103" spans="1:1" x14ac:dyDescent="0.3">
      <c r="A103" t="s">
        <v>911</v>
      </c>
    </row>
    <row r="104" spans="1:1" x14ac:dyDescent="0.3">
      <c r="A104" t="s">
        <v>873</v>
      </c>
    </row>
    <row r="105" spans="1:1" x14ac:dyDescent="0.3">
      <c r="A105" t="s">
        <v>955</v>
      </c>
    </row>
    <row r="106" spans="1:1" x14ac:dyDescent="0.3">
      <c r="A106" t="s">
        <v>795</v>
      </c>
    </row>
    <row r="107" spans="1:1" x14ac:dyDescent="0.3">
      <c r="A107" t="s">
        <v>752</v>
      </c>
    </row>
    <row r="108" spans="1:1" x14ac:dyDescent="0.3">
      <c r="A108" t="s">
        <v>838</v>
      </c>
    </row>
    <row r="109" spans="1:1" x14ac:dyDescent="0.3">
      <c r="A109" t="s">
        <v>912</v>
      </c>
    </row>
    <row r="110" spans="1:1" x14ac:dyDescent="0.3">
      <c r="A110" t="s">
        <v>874</v>
      </c>
    </row>
    <row r="111" spans="1:1" x14ac:dyDescent="0.3">
      <c r="A111" t="s">
        <v>956</v>
      </c>
    </row>
    <row r="112" spans="1:1" x14ac:dyDescent="0.3">
      <c r="A112" t="s">
        <v>796</v>
      </c>
    </row>
    <row r="113" spans="1:1" x14ac:dyDescent="0.3">
      <c r="A113" t="s">
        <v>753</v>
      </c>
    </row>
    <row r="114" spans="1:1" x14ac:dyDescent="0.3">
      <c r="A114" t="s">
        <v>839</v>
      </c>
    </row>
    <row r="115" spans="1:1" x14ac:dyDescent="0.3">
      <c r="A115" t="s">
        <v>913</v>
      </c>
    </row>
    <row r="116" spans="1:1" x14ac:dyDescent="0.3">
      <c r="A116" t="s">
        <v>875</v>
      </c>
    </row>
    <row r="117" spans="1:1" x14ac:dyDescent="0.3">
      <c r="A117" t="s">
        <v>1149</v>
      </c>
    </row>
    <row r="118" spans="1:1" x14ac:dyDescent="0.3">
      <c r="A118" t="s">
        <v>967</v>
      </c>
    </row>
    <row r="119" spans="1:1" x14ac:dyDescent="0.3">
      <c r="A119" t="s">
        <v>807</v>
      </c>
    </row>
    <row r="120" spans="1:1" x14ac:dyDescent="0.3">
      <c r="A120" t="s">
        <v>764</v>
      </c>
    </row>
    <row r="121" spans="1:1" x14ac:dyDescent="0.3">
      <c r="A121" t="s">
        <v>850</v>
      </c>
    </row>
    <row r="122" spans="1:1" x14ac:dyDescent="0.3">
      <c r="A122" t="s">
        <v>924</v>
      </c>
    </row>
    <row r="123" spans="1:1" x14ac:dyDescent="0.3">
      <c r="A123" t="s">
        <v>883</v>
      </c>
    </row>
    <row r="124" spans="1:1" x14ac:dyDescent="0.3">
      <c r="A124" t="s">
        <v>680</v>
      </c>
    </row>
    <row r="125" spans="1:1" x14ac:dyDescent="0.3">
      <c r="A125" t="s">
        <v>710</v>
      </c>
    </row>
    <row r="126" spans="1:1" x14ac:dyDescent="0.3">
      <c r="A126" t="s">
        <v>1150</v>
      </c>
    </row>
    <row r="127" spans="1:1" x14ac:dyDescent="0.3">
      <c r="A127" t="s">
        <v>957</v>
      </c>
    </row>
    <row r="128" spans="1:1" x14ac:dyDescent="0.3">
      <c r="A128" t="s">
        <v>797</v>
      </c>
    </row>
    <row r="129" spans="1:1" x14ac:dyDescent="0.3">
      <c r="A129" t="s">
        <v>754</v>
      </c>
    </row>
    <row r="130" spans="1:1" x14ac:dyDescent="0.3">
      <c r="A130" t="s">
        <v>840</v>
      </c>
    </row>
    <row r="131" spans="1:1" x14ac:dyDescent="0.3">
      <c r="A131" t="s">
        <v>914</v>
      </c>
    </row>
    <row r="132" spans="1:1" x14ac:dyDescent="0.3">
      <c r="A132" t="s">
        <v>876</v>
      </c>
    </row>
    <row r="133" spans="1:1" x14ac:dyDescent="0.3">
      <c r="A133" t="s">
        <v>687</v>
      </c>
    </row>
    <row r="134" spans="1:1" x14ac:dyDescent="0.3">
      <c r="A134" t="s">
        <v>716</v>
      </c>
    </row>
    <row r="135" spans="1:1" x14ac:dyDescent="0.3">
      <c r="A135" t="s">
        <v>1151</v>
      </c>
    </row>
    <row r="136" spans="1:1" x14ac:dyDescent="0.3">
      <c r="A136" t="s">
        <v>971</v>
      </c>
    </row>
    <row r="137" spans="1:1" x14ac:dyDescent="0.3">
      <c r="A137" t="s">
        <v>811</v>
      </c>
    </row>
    <row r="138" spans="1:1" x14ac:dyDescent="0.3">
      <c r="A138" t="s">
        <v>768</v>
      </c>
    </row>
    <row r="139" spans="1:1" x14ac:dyDescent="0.3">
      <c r="A139" t="s">
        <v>854</v>
      </c>
    </row>
    <row r="140" spans="1:1" x14ac:dyDescent="0.3">
      <c r="A140" t="s">
        <v>928</v>
      </c>
    </row>
    <row r="141" spans="1:1" x14ac:dyDescent="0.3">
      <c r="A141" t="s">
        <v>885</v>
      </c>
    </row>
    <row r="142" spans="1:1" x14ac:dyDescent="0.3">
      <c r="A142" t="s">
        <v>1152</v>
      </c>
    </row>
    <row r="143" spans="1:1" x14ac:dyDescent="0.3">
      <c r="A143" t="s">
        <v>972</v>
      </c>
    </row>
    <row r="144" spans="1:1" x14ac:dyDescent="0.3">
      <c r="A144" t="s">
        <v>812</v>
      </c>
    </row>
    <row r="145" spans="1:1" x14ac:dyDescent="0.3">
      <c r="A145" t="s">
        <v>769</v>
      </c>
    </row>
    <row r="146" spans="1:1" x14ac:dyDescent="0.3">
      <c r="A146" t="s">
        <v>855</v>
      </c>
    </row>
    <row r="147" spans="1:1" x14ac:dyDescent="0.3">
      <c r="A147" t="s">
        <v>929</v>
      </c>
    </row>
    <row r="148" spans="1:1" x14ac:dyDescent="0.3">
      <c r="A148" t="s">
        <v>886</v>
      </c>
    </row>
    <row r="149" spans="1:1" x14ac:dyDescent="0.3">
      <c r="A149" t="s">
        <v>1006</v>
      </c>
    </row>
    <row r="150" spans="1:1" x14ac:dyDescent="0.3">
      <c r="A150" t="s">
        <v>1068</v>
      </c>
    </row>
    <row r="151" spans="1:1" x14ac:dyDescent="0.3">
      <c r="A151" t="s">
        <v>1099</v>
      </c>
    </row>
    <row r="152" spans="1:1" x14ac:dyDescent="0.3">
      <c r="A152" t="s">
        <v>1037</v>
      </c>
    </row>
    <row r="153" spans="1:1" x14ac:dyDescent="0.3">
      <c r="A153" t="s">
        <v>1007</v>
      </c>
    </row>
    <row r="154" spans="1:1" x14ac:dyDescent="0.3">
      <c r="A154" t="s">
        <v>1069</v>
      </c>
    </row>
    <row r="155" spans="1:1" x14ac:dyDescent="0.3">
      <c r="A155" t="s">
        <v>1100</v>
      </c>
    </row>
    <row r="156" spans="1:1" x14ac:dyDescent="0.3">
      <c r="A156" t="s">
        <v>1038</v>
      </c>
    </row>
    <row r="157" spans="1:1" x14ac:dyDescent="0.3">
      <c r="A157" t="s">
        <v>1128</v>
      </c>
    </row>
    <row r="158" spans="1:1" x14ac:dyDescent="0.3">
      <c r="A158" t="s">
        <v>968</v>
      </c>
    </row>
    <row r="159" spans="1:1" x14ac:dyDescent="0.3">
      <c r="A159" t="s">
        <v>664</v>
      </c>
    </row>
    <row r="160" spans="1:1" x14ac:dyDescent="0.3">
      <c r="A160" t="s">
        <v>808</v>
      </c>
    </row>
    <row r="161" spans="1:1" x14ac:dyDescent="0.3">
      <c r="A161" t="s">
        <v>765</v>
      </c>
    </row>
    <row r="162" spans="1:1" x14ac:dyDescent="0.3">
      <c r="A162" t="s">
        <v>851</v>
      </c>
    </row>
    <row r="163" spans="1:1" x14ac:dyDescent="0.3">
      <c r="A163" t="s">
        <v>925</v>
      </c>
    </row>
    <row r="164" spans="1:1" x14ac:dyDescent="0.3">
      <c r="A164" t="s">
        <v>677</v>
      </c>
    </row>
    <row r="165" spans="1:1" x14ac:dyDescent="0.3">
      <c r="A165" t="s">
        <v>1008</v>
      </c>
    </row>
    <row r="166" spans="1:1" x14ac:dyDescent="0.3">
      <c r="A166" t="s">
        <v>1070</v>
      </c>
    </row>
    <row r="167" spans="1:1" x14ac:dyDescent="0.3">
      <c r="A167" t="s">
        <v>1101</v>
      </c>
    </row>
    <row r="168" spans="1:1" x14ac:dyDescent="0.3">
      <c r="A168" t="s">
        <v>1039</v>
      </c>
    </row>
    <row r="169" spans="1:1" x14ac:dyDescent="0.3">
      <c r="A169" t="s">
        <v>1132</v>
      </c>
    </row>
    <row r="170" spans="1:1" x14ac:dyDescent="0.3">
      <c r="A170" t="s">
        <v>1009</v>
      </c>
    </row>
    <row r="171" spans="1:1" x14ac:dyDescent="0.3">
      <c r="A171" t="s">
        <v>1071</v>
      </c>
    </row>
    <row r="172" spans="1:1" x14ac:dyDescent="0.3">
      <c r="A172" t="s">
        <v>1102</v>
      </c>
    </row>
    <row r="173" spans="1:1" x14ac:dyDescent="0.3">
      <c r="A173" t="s">
        <v>1040</v>
      </c>
    </row>
    <row r="174" spans="1:1" x14ac:dyDescent="0.3">
      <c r="A174" t="s">
        <v>681</v>
      </c>
    </row>
    <row r="175" spans="1:1" x14ac:dyDescent="0.3">
      <c r="A175" t="s">
        <v>711</v>
      </c>
    </row>
    <row r="176" spans="1:1" x14ac:dyDescent="0.3">
      <c r="A176" t="s">
        <v>1135</v>
      </c>
    </row>
    <row r="177" spans="1:1" x14ac:dyDescent="0.3">
      <c r="A177" t="s">
        <v>1138</v>
      </c>
    </row>
    <row r="178" spans="1:1" x14ac:dyDescent="0.3">
      <c r="A178" t="s">
        <v>958</v>
      </c>
    </row>
    <row r="179" spans="1:1" x14ac:dyDescent="0.3">
      <c r="A179" t="s">
        <v>1010</v>
      </c>
    </row>
    <row r="180" spans="1:1" x14ac:dyDescent="0.3">
      <c r="A180" t="s">
        <v>1072</v>
      </c>
    </row>
    <row r="181" spans="1:1" x14ac:dyDescent="0.3">
      <c r="A181" t="s">
        <v>1103</v>
      </c>
    </row>
    <row r="182" spans="1:1" x14ac:dyDescent="0.3">
      <c r="A182" t="s">
        <v>1041</v>
      </c>
    </row>
    <row r="183" spans="1:1" x14ac:dyDescent="0.3">
      <c r="A183" t="s">
        <v>798</v>
      </c>
    </row>
    <row r="184" spans="1:1" x14ac:dyDescent="0.3">
      <c r="A184" t="s">
        <v>755</v>
      </c>
    </row>
    <row r="185" spans="1:1" x14ac:dyDescent="0.3">
      <c r="A185" t="s">
        <v>841</v>
      </c>
    </row>
    <row r="186" spans="1:1" x14ac:dyDescent="0.3">
      <c r="A186" t="s">
        <v>915</v>
      </c>
    </row>
    <row r="187" spans="1:1" x14ac:dyDescent="0.3">
      <c r="A187" t="s">
        <v>877</v>
      </c>
    </row>
    <row r="188" spans="1:1" x14ac:dyDescent="0.3">
      <c r="A188" t="s">
        <v>1011</v>
      </c>
    </row>
    <row r="189" spans="1:1" x14ac:dyDescent="0.3">
      <c r="A189" t="s">
        <v>1073</v>
      </c>
    </row>
    <row r="190" spans="1:1" x14ac:dyDescent="0.3">
      <c r="A190" t="s">
        <v>1104</v>
      </c>
    </row>
    <row r="191" spans="1:1" x14ac:dyDescent="0.3">
      <c r="A191" t="s">
        <v>1042</v>
      </c>
    </row>
    <row r="192" spans="1:1" x14ac:dyDescent="0.3">
      <c r="A192" t="s">
        <v>1129</v>
      </c>
    </row>
    <row r="193" spans="1:1" x14ac:dyDescent="0.3">
      <c r="A193" t="s">
        <v>1130</v>
      </c>
    </row>
    <row r="194" spans="1:1" x14ac:dyDescent="0.3">
      <c r="A194" t="s">
        <v>1012</v>
      </c>
    </row>
    <row r="195" spans="1:1" x14ac:dyDescent="0.3">
      <c r="A195" t="s">
        <v>1074</v>
      </c>
    </row>
    <row r="196" spans="1:1" x14ac:dyDescent="0.3">
      <c r="A196" t="s">
        <v>1105</v>
      </c>
    </row>
    <row r="197" spans="1:1" x14ac:dyDescent="0.3">
      <c r="A197" t="s">
        <v>1043</v>
      </c>
    </row>
    <row r="198" spans="1:1" x14ac:dyDescent="0.3">
      <c r="A198" t="s">
        <v>980</v>
      </c>
    </row>
    <row r="199" spans="1:1" x14ac:dyDescent="0.3">
      <c r="A199" t="s">
        <v>820</v>
      </c>
    </row>
    <row r="200" spans="1:1" x14ac:dyDescent="0.3">
      <c r="A200" t="s">
        <v>777</v>
      </c>
    </row>
    <row r="201" spans="1:1" x14ac:dyDescent="0.3">
      <c r="A201" t="s">
        <v>863</v>
      </c>
    </row>
    <row r="202" spans="1:1" x14ac:dyDescent="0.3">
      <c r="A202" t="s">
        <v>937</v>
      </c>
    </row>
    <row r="203" spans="1:1" x14ac:dyDescent="0.3">
      <c r="A203" t="s">
        <v>893</v>
      </c>
    </row>
    <row r="204" spans="1:1" x14ac:dyDescent="0.3">
      <c r="A204" t="s">
        <v>1146</v>
      </c>
    </row>
    <row r="205" spans="1:1" x14ac:dyDescent="0.3">
      <c r="A205" t="s">
        <v>951</v>
      </c>
    </row>
    <row r="206" spans="1:1" x14ac:dyDescent="0.3">
      <c r="A206" t="s">
        <v>791</v>
      </c>
    </row>
    <row r="207" spans="1:1" x14ac:dyDescent="0.3">
      <c r="A207" t="s">
        <v>748</v>
      </c>
    </row>
    <row r="208" spans="1:1" x14ac:dyDescent="0.3">
      <c r="A208" t="s">
        <v>834</v>
      </c>
    </row>
    <row r="209" spans="1:1" x14ac:dyDescent="0.3">
      <c r="A209" t="s">
        <v>908</v>
      </c>
    </row>
    <row r="210" spans="1:1" x14ac:dyDescent="0.3">
      <c r="A210" t="s">
        <v>870</v>
      </c>
    </row>
    <row r="211" spans="1:1" x14ac:dyDescent="0.3">
      <c r="A211" t="s">
        <v>975</v>
      </c>
    </row>
    <row r="212" spans="1:1" x14ac:dyDescent="0.3">
      <c r="A212" t="s">
        <v>815</v>
      </c>
    </row>
    <row r="213" spans="1:1" x14ac:dyDescent="0.3">
      <c r="A213" t="s">
        <v>772</v>
      </c>
    </row>
    <row r="214" spans="1:1" x14ac:dyDescent="0.3">
      <c r="A214" t="s">
        <v>858</v>
      </c>
    </row>
    <row r="215" spans="1:1" x14ac:dyDescent="0.3">
      <c r="A215" t="s">
        <v>932</v>
      </c>
    </row>
    <row r="216" spans="1:1" x14ac:dyDescent="0.3">
      <c r="A216" t="s">
        <v>888</v>
      </c>
    </row>
    <row r="217" spans="1:1" x14ac:dyDescent="0.3">
      <c r="A217" t="s">
        <v>1153</v>
      </c>
    </row>
    <row r="218" spans="1:1" x14ac:dyDescent="0.3">
      <c r="A218" t="s">
        <v>950</v>
      </c>
    </row>
    <row r="219" spans="1:1" x14ac:dyDescent="0.3">
      <c r="A219" t="s">
        <v>654</v>
      </c>
    </row>
    <row r="220" spans="1:1" x14ac:dyDescent="0.3">
      <c r="A220" t="s">
        <v>1013</v>
      </c>
    </row>
    <row r="221" spans="1:1" x14ac:dyDescent="0.3">
      <c r="A221" t="s">
        <v>1075</v>
      </c>
    </row>
    <row r="222" spans="1:1" x14ac:dyDescent="0.3">
      <c r="A222" t="s">
        <v>1106</v>
      </c>
    </row>
    <row r="223" spans="1:1" x14ac:dyDescent="0.3">
      <c r="A223" t="s">
        <v>1044</v>
      </c>
    </row>
    <row r="224" spans="1:1" x14ac:dyDescent="0.3">
      <c r="A224" t="s">
        <v>790</v>
      </c>
    </row>
    <row r="225" spans="1:1" x14ac:dyDescent="0.3">
      <c r="A225" t="s">
        <v>747</v>
      </c>
    </row>
    <row r="226" spans="1:1" x14ac:dyDescent="0.3">
      <c r="A226" t="s">
        <v>833</v>
      </c>
    </row>
    <row r="227" spans="1:1" x14ac:dyDescent="0.3">
      <c r="A227" t="s">
        <v>991</v>
      </c>
    </row>
    <row r="228" spans="1:1" x14ac:dyDescent="0.3">
      <c r="A228" t="s">
        <v>992</v>
      </c>
    </row>
    <row r="229" spans="1:1" x14ac:dyDescent="0.3">
      <c r="A229" t="s">
        <v>907</v>
      </c>
    </row>
    <row r="230" spans="1:1" x14ac:dyDescent="0.3">
      <c r="A230" t="s">
        <v>667</v>
      </c>
    </row>
    <row r="231" spans="1:1" x14ac:dyDescent="0.3">
      <c r="A231" t="s">
        <v>990</v>
      </c>
    </row>
    <row r="232" spans="1:1" x14ac:dyDescent="0.3">
      <c r="A232" t="s">
        <v>1136</v>
      </c>
    </row>
    <row r="233" spans="1:1" x14ac:dyDescent="0.3">
      <c r="A233" t="s">
        <v>959</v>
      </c>
    </row>
    <row r="234" spans="1:1" x14ac:dyDescent="0.3">
      <c r="A234" t="s">
        <v>799</v>
      </c>
    </row>
    <row r="235" spans="1:1" x14ac:dyDescent="0.3">
      <c r="A235" t="s">
        <v>756</v>
      </c>
    </row>
    <row r="236" spans="1:1" x14ac:dyDescent="0.3">
      <c r="A236" t="s">
        <v>842</v>
      </c>
    </row>
    <row r="237" spans="1:1" x14ac:dyDescent="0.3">
      <c r="A237" t="s">
        <v>916</v>
      </c>
    </row>
    <row r="238" spans="1:1" x14ac:dyDescent="0.3">
      <c r="A238" t="s">
        <v>878</v>
      </c>
    </row>
    <row r="239" spans="1:1" x14ac:dyDescent="0.3">
      <c r="A239" t="s">
        <v>1014</v>
      </c>
    </row>
    <row r="240" spans="1:1" x14ac:dyDescent="0.3">
      <c r="A240" t="s">
        <v>1076</v>
      </c>
    </row>
    <row r="241" spans="1:1" x14ac:dyDescent="0.3">
      <c r="A241" t="s">
        <v>1107</v>
      </c>
    </row>
    <row r="242" spans="1:1" x14ac:dyDescent="0.3">
      <c r="A242" t="s">
        <v>1045</v>
      </c>
    </row>
    <row r="243" spans="1:1" x14ac:dyDescent="0.3">
      <c r="A243" t="s">
        <v>978</v>
      </c>
    </row>
    <row r="244" spans="1:1" x14ac:dyDescent="0.3">
      <c r="A244" t="s">
        <v>818</v>
      </c>
    </row>
    <row r="245" spans="1:1" x14ac:dyDescent="0.3">
      <c r="A245" t="s">
        <v>775</v>
      </c>
    </row>
    <row r="246" spans="1:1" x14ac:dyDescent="0.3">
      <c r="A246" t="s">
        <v>861</v>
      </c>
    </row>
    <row r="247" spans="1:1" x14ac:dyDescent="0.3">
      <c r="A247" t="s">
        <v>935</v>
      </c>
    </row>
    <row r="248" spans="1:1" x14ac:dyDescent="0.3">
      <c r="A248" t="s">
        <v>891</v>
      </c>
    </row>
    <row r="249" spans="1:1" x14ac:dyDescent="0.3">
      <c r="A249" t="s">
        <v>1145</v>
      </c>
    </row>
    <row r="250" spans="1:1" x14ac:dyDescent="0.3">
      <c r="A250" t="s">
        <v>1015</v>
      </c>
    </row>
    <row r="251" spans="1:1" x14ac:dyDescent="0.3">
      <c r="A251" t="s">
        <v>1077</v>
      </c>
    </row>
    <row r="252" spans="1:1" x14ac:dyDescent="0.3">
      <c r="A252" t="s">
        <v>1108</v>
      </c>
    </row>
    <row r="253" spans="1:1" x14ac:dyDescent="0.3">
      <c r="A253" t="s">
        <v>1046</v>
      </c>
    </row>
    <row r="254" spans="1:1" x14ac:dyDescent="0.3">
      <c r="A254" t="s">
        <v>695</v>
      </c>
    </row>
    <row r="255" spans="1:1" x14ac:dyDescent="0.3">
      <c r="A255" t="s">
        <v>723</v>
      </c>
    </row>
    <row r="256" spans="1:1" x14ac:dyDescent="0.3">
      <c r="A256" t="s">
        <v>706</v>
      </c>
    </row>
    <row r="257" spans="1:1" x14ac:dyDescent="0.3">
      <c r="A257" t="s">
        <v>734</v>
      </c>
    </row>
    <row r="258" spans="1:1" x14ac:dyDescent="0.3">
      <c r="A258" t="s">
        <v>970</v>
      </c>
    </row>
    <row r="259" spans="1:1" x14ac:dyDescent="0.3">
      <c r="A259" t="s">
        <v>810</v>
      </c>
    </row>
    <row r="260" spans="1:1" x14ac:dyDescent="0.3">
      <c r="A260" t="s">
        <v>767</v>
      </c>
    </row>
    <row r="261" spans="1:1" x14ac:dyDescent="0.3">
      <c r="A261" t="s">
        <v>853</v>
      </c>
    </row>
    <row r="262" spans="1:1" x14ac:dyDescent="0.3">
      <c r="A262" t="s">
        <v>927</v>
      </c>
    </row>
    <row r="263" spans="1:1" x14ac:dyDescent="0.3">
      <c r="A263" t="s">
        <v>884</v>
      </c>
    </row>
    <row r="264" spans="1:1" x14ac:dyDescent="0.3">
      <c r="A264" t="s">
        <v>1154</v>
      </c>
    </row>
    <row r="265" spans="1:1" x14ac:dyDescent="0.3">
      <c r="A265" t="s">
        <v>1155</v>
      </c>
    </row>
    <row r="266" spans="1:1" x14ac:dyDescent="0.3">
      <c r="A266" t="s">
        <v>960</v>
      </c>
    </row>
    <row r="267" spans="1:1" x14ac:dyDescent="0.3">
      <c r="A267" t="s">
        <v>800</v>
      </c>
    </row>
    <row r="268" spans="1:1" x14ac:dyDescent="0.3">
      <c r="A268" t="s">
        <v>757</v>
      </c>
    </row>
    <row r="269" spans="1:1" x14ac:dyDescent="0.3">
      <c r="A269" t="s">
        <v>843</v>
      </c>
    </row>
    <row r="270" spans="1:1" x14ac:dyDescent="0.3">
      <c r="A270" t="s">
        <v>917</v>
      </c>
    </row>
    <row r="271" spans="1:1" x14ac:dyDescent="0.3">
      <c r="A271" t="s">
        <v>879</v>
      </c>
    </row>
    <row r="272" spans="1:1" x14ac:dyDescent="0.3">
      <c r="A272" t="s">
        <v>1156</v>
      </c>
    </row>
    <row r="273" spans="1:1" x14ac:dyDescent="0.3">
      <c r="A273" t="s">
        <v>1157</v>
      </c>
    </row>
    <row r="274" spans="1:1" x14ac:dyDescent="0.3">
      <c r="A274" t="s">
        <v>961</v>
      </c>
    </row>
    <row r="275" spans="1:1" x14ac:dyDescent="0.3">
      <c r="A275" t="s">
        <v>801</v>
      </c>
    </row>
    <row r="276" spans="1:1" x14ac:dyDescent="0.3">
      <c r="A276" t="s">
        <v>758</v>
      </c>
    </row>
    <row r="277" spans="1:1" x14ac:dyDescent="0.3">
      <c r="A277" t="s">
        <v>844</v>
      </c>
    </row>
    <row r="278" spans="1:1" x14ac:dyDescent="0.3">
      <c r="A278" t="s">
        <v>918</v>
      </c>
    </row>
    <row r="279" spans="1:1" x14ac:dyDescent="0.3">
      <c r="A279" t="s">
        <v>880</v>
      </c>
    </row>
    <row r="280" spans="1:1" x14ac:dyDescent="0.3">
      <c r="A280" t="s">
        <v>1158</v>
      </c>
    </row>
    <row r="281" spans="1:1" x14ac:dyDescent="0.3">
      <c r="A281" t="s">
        <v>1016</v>
      </c>
    </row>
    <row r="282" spans="1:1" x14ac:dyDescent="0.3">
      <c r="A282" t="s">
        <v>1078</v>
      </c>
    </row>
    <row r="283" spans="1:1" x14ac:dyDescent="0.3">
      <c r="A283" t="s">
        <v>1109</v>
      </c>
    </row>
    <row r="284" spans="1:1" x14ac:dyDescent="0.3">
      <c r="A284" t="s">
        <v>1047</v>
      </c>
    </row>
    <row r="285" spans="1:1" x14ac:dyDescent="0.3">
      <c r="A285" t="s">
        <v>983</v>
      </c>
    </row>
    <row r="286" spans="1:1" x14ac:dyDescent="0.3">
      <c r="A286" t="s">
        <v>823</v>
      </c>
    </row>
    <row r="287" spans="1:1" x14ac:dyDescent="0.3">
      <c r="A287" t="s">
        <v>780</v>
      </c>
    </row>
    <row r="288" spans="1:1" x14ac:dyDescent="0.3">
      <c r="A288" t="s">
        <v>866</v>
      </c>
    </row>
    <row r="289" spans="1:1" x14ac:dyDescent="0.3">
      <c r="A289" t="s">
        <v>940</v>
      </c>
    </row>
    <row r="290" spans="1:1" x14ac:dyDescent="0.3">
      <c r="A290" t="s">
        <v>896</v>
      </c>
    </row>
    <row r="291" spans="1:1" x14ac:dyDescent="0.3">
      <c r="A291" t="s">
        <v>1159</v>
      </c>
    </row>
    <row r="292" spans="1:1" x14ac:dyDescent="0.3">
      <c r="A292" t="s">
        <v>1160</v>
      </c>
    </row>
    <row r="293" spans="1:1" x14ac:dyDescent="0.3">
      <c r="A293" t="s">
        <v>1161</v>
      </c>
    </row>
    <row r="294" spans="1:1" x14ac:dyDescent="0.3">
      <c r="A294" t="s">
        <v>982</v>
      </c>
    </row>
    <row r="295" spans="1:1" x14ac:dyDescent="0.3">
      <c r="A295" t="s">
        <v>822</v>
      </c>
    </row>
    <row r="296" spans="1:1" x14ac:dyDescent="0.3">
      <c r="A296" t="s">
        <v>779</v>
      </c>
    </row>
    <row r="297" spans="1:1" x14ac:dyDescent="0.3">
      <c r="A297" t="s">
        <v>865</v>
      </c>
    </row>
    <row r="298" spans="1:1" x14ac:dyDescent="0.3">
      <c r="A298" t="s">
        <v>939</v>
      </c>
    </row>
    <row r="299" spans="1:1" x14ac:dyDescent="0.3">
      <c r="A299" t="s">
        <v>895</v>
      </c>
    </row>
    <row r="300" spans="1:1" x14ac:dyDescent="0.3">
      <c r="A300" t="s">
        <v>994</v>
      </c>
    </row>
    <row r="301" spans="1:1" x14ac:dyDescent="0.3">
      <c r="A301" t="s">
        <v>708</v>
      </c>
    </row>
    <row r="302" spans="1:1" x14ac:dyDescent="0.3">
      <c r="A302" t="s">
        <v>736</v>
      </c>
    </row>
    <row r="303" spans="1:1" x14ac:dyDescent="0.3">
      <c r="A303" t="s">
        <v>688</v>
      </c>
    </row>
    <row r="304" spans="1:1" x14ac:dyDescent="0.3">
      <c r="A304" t="s">
        <v>717</v>
      </c>
    </row>
    <row r="305" spans="1:1" x14ac:dyDescent="0.3">
      <c r="A305" t="s">
        <v>1162</v>
      </c>
    </row>
    <row r="306" spans="1:1" x14ac:dyDescent="0.3">
      <c r="A306" t="s">
        <v>690</v>
      </c>
    </row>
    <row r="307" spans="1:1" x14ac:dyDescent="0.3">
      <c r="A307" t="s">
        <v>719</v>
      </c>
    </row>
    <row r="308" spans="1:1" x14ac:dyDescent="0.3">
      <c r="A308" t="s">
        <v>985</v>
      </c>
    </row>
    <row r="309" spans="1:1" x14ac:dyDescent="0.3">
      <c r="A309" t="s">
        <v>825</v>
      </c>
    </row>
    <row r="310" spans="1:1" x14ac:dyDescent="0.3">
      <c r="A310" t="s">
        <v>782</v>
      </c>
    </row>
    <row r="311" spans="1:1" x14ac:dyDescent="0.3">
      <c r="A311" t="s">
        <v>868</v>
      </c>
    </row>
    <row r="312" spans="1:1" x14ac:dyDescent="0.3">
      <c r="A312" t="s">
        <v>942</v>
      </c>
    </row>
    <row r="313" spans="1:1" x14ac:dyDescent="0.3">
      <c r="A313" t="s">
        <v>898</v>
      </c>
    </row>
    <row r="314" spans="1:1" x14ac:dyDescent="0.3">
      <c r="A314" t="s">
        <v>993</v>
      </c>
    </row>
    <row r="315" spans="1:1" x14ac:dyDescent="0.3">
      <c r="A315" t="s">
        <v>1163</v>
      </c>
    </row>
    <row r="316" spans="1:1" x14ac:dyDescent="0.3">
      <c r="A316" t="s">
        <v>962</v>
      </c>
    </row>
    <row r="317" spans="1:1" x14ac:dyDescent="0.3">
      <c r="A317" t="s">
        <v>655</v>
      </c>
    </row>
    <row r="318" spans="1:1" x14ac:dyDescent="0.3">
      <c r="A318" t="s">
        <v>802</v>
      </c>
    </row>
    <row r="319" spans="1:1" x14ac:dyDescent="0.3">
      <c r="A319" t="s">
        <v>759</v>
      </c>
    </row>
    <row r="320" spans="1:1" x14ac:dyDescent="0.3">
      <c r="A320" t="s">
        <v>845</v>
      </c>
    </row>
    <row r="321" spans="1:1" x14ac:dyDescent="0.3">
      <c r="A321" t="s">
        <v>919</v>
      </c>
    </row>
    <row r="322" spans="1:1" x14ac:dyDescent="0.3">
      <c r="A322" t="s">
        <v>668</v>
      </c>
    </row>
    <row r="323" spans="1:1" x14ac:dyDescent="0.3">
      <c r="A323" t="s">
        <v>976</v>
      </c>
    </row>
    <row r="324" spans="1:1" x14ac:dyDescent="0.3">
      <c r="A324" t="s">
        <v>816</v>
      </c>
    </row>
    <row r="325" spans="1:1" x14ac:dyDescent="0.3">
      <c r="A325" t="s">
        <v>773</v>
      </c>
    </row>
    <row r="326" spans="1:1" x14ac:dyDescent="0.3">
      <c r="A326" t="s">
        <v>859</v>
      </c>
    </row>
    <row r="327" spans="1:1" x14ac:dyDescent="0.3">
      <c r="A327" t="s">
        <v>933</v>
      </c>
    </row>
    <row r="328" spans="1:1" x14ac:dyDescent="0.3">
      <c r="A328" t="s">
        <v>889</v>
      </c>
    </row>
    <row r="329" spans="1:1" x14ac:dyDescent="0.3">
      <c r="A329" t="s">
        <v>1017</v>
      </c>
    </row>
    <row r="330" spans="1:1" x14ac:dyDescent="0.3">
      <c r="A330" t="s">
        <v>1079</v>
      </c>
    </row>
    <row r="331" spans="1:1" x14ac:dyDescent="0.3">
      <c r="A331" t="s">
        <v>1110</v>
      </c>
    </row>
    <row r="332" spans="1:1" x14ac:dyDescent="0.3">
      <c r="A332" t="s">
        <v>1048</v>
      </c>
    </row>
    <row r="333" spans="1:1" x14ac:dyDescent="0.3">
      <c r="A333" t="s">
        <v>705</v>
      </c>
    </row>
    <row r="334" spans="1:1" x14ac:dyDescent="0.3">
      <c r="A334" t="s">
        <v>733</v>
      </c>
    </row>
    <row r="335" spans="1:1" x14ac:dyDescent="0.3">
      <c r="A335" t="s">
        <v>1134</v>
      </c>
    </row>
    <row r="336" spans="1:1" x14ac:dyDescent="0.3">
      <c r="A336" t="s">
        <v>946</v>
      </c>
    </row>
    <row r="337" spans="1:1" x14ac:dyDescent="0.3">
      <c r="A337" t="s">
        <v>656</v>
      </c>
    </row>
    <row r="338" spans="1:1" x14ac:dyDescent="0.3">
      <c r="A338" t="s">
        <v>1018</v>
      </c>
    </row>
    <row r="339" spans="1:1" x14ac:dyDescent="0.3">
      <c r="A339" t="s">
        <v>1080</v>
      </c>
    </row>
    <row r="340" spans="1:1" x14ac:dyDescent="0.3">
      <c r="A340" t="s">
        <v>1111</v>
      </c>
    </row>
    <row r="341" spans="1:1" x14ac:dyDescent="0.3">
      <c r="A341" t="s">
        <v>1049</v>
      </c>
    </row>
    <row r="342" spans="1:1" x14ac:dyDescent="0.3">
      <c r="A342" t="s">
        <v>786</v>
      </c>
    </row>
    <row r="343" spans="1:1" x14ac:dyDescent="0.3">
      <c r="A343" t="s">
        <v>743</v>
      </c>
    </row>
    <row r="344" spans="1:1" x14ac:dyDescent="0.3">
      <c r="A344" t="s">
        <v>829</v>
      </c>
    </row>
    <row r="345" spans="1:1" x14ac:dyDescent="0.3">
      <c r="A345" t="s">
        <v>903</v>
      </c>
    </row>
    <row r="346" spans="1:1" x14ac:dyDescent="0.3">
      <c r="A346" t="s">
        <v>669</v>
      </c>
    </row>
    <row r="347" spans="1:1" x14ac:dyDescent="0.3">
      <c r="A347" t="s">
        <v>989</v>
      </c>
    </row>
    <row r="348" spans="1:1" x14ac:dyDescent="0.3">
      <c r="A348" t="s">
        <v>963</v>
      </c>
    </row>
    <row r="349" spans="1:1" x14ac:dyDescent="0.3">
      <c r="A349" t="s">
        <v>657</v>
      </c>
    </row>
    <row r="350" spans="1:1" x14ac:dyDescent="0.3">
      <c r="A350" t="s">
        <v>698</v>
      </c>
    </row>
    <row r="351" spans="1:1" x14ac:dyDescent="0.3">
      <c r="A351" t="s">
        <v>726</v>
      </c>
    </row>
    <row r="352" spans="1:1" x14ac:dyDescent="0.3">
      <c r="A352" t="s">
        <v>1019</v>
      </c>
    </row>
    <row r="353" spans="1:1" x14ac:dyDescent="0.3">
      <c r="A353" t="s">
        <v>1081</v>
      </c>
    </row>
    <row r="354" spans="1:1" x14ac:dyDescent="0.3">
      <c r="A354" t="s">
        <v>1112</v>
      </c>
    </row>
    <row r="355" spans="1:1" x14ac:dyDescent="0.3">
      <c r="A355" t="s">
        <v>1050</v>
      </c>
    </row>
    <row r="356" spans="1:1" x14ac:dyDescent="0.3">
      <c r="A356" t="s">
        <v>803</v>
      </c>
    </row>
    <row r="357" spans="1:1" x14ac:dyDescent="0.3">
      <c r="A357" t="s">
        <v>760</v>
      </c>
    </row>
    <row r="358" spans="1:1" x14ac:dyDescent="0.3">
      <c r="A358" t="s">
        <v>846</v>
      </c>
    </row>
    <row r="359" spans="1:1" x14ac:dyDescent="0.3">
      <c r="A359" t="s">
        <v>920</v>
      </c>
    </row>
    <row r="360" spans="1:1" x14ac:dyDescent="0.3">
      <c r="A360" t="s">
        <v>670</v>
      </c>
    </row>
    <row r="361" spans="1:1" x14ac:dyDescent="0.3">
      <c r="A361" t="s">
        <v>1143</v>
      </c>
    </row>
    <row r="362" spans="1:1" x14ac:dyDescent="0.3">
      <c r="A362" t="s">
        <v>964</v>
      </c>
    </row>
    <row r="363" spans="1:1" x14ac:dyDescent="0.3">
      <c r="A363" t="s">
        <v>804</v>
      </c>
    </row>
    <row r="364" spans="1:1" x14ac:dyDescent="0.3">
      <c r="A364" t="s">
        <v>761</v>
      </c>
    </row>
    <row r="365" spans="1:1" x14ac:dyDescent="0.3">
      <c r="A365" t="s">
        <v>847</v>
      </c>
    </row>
    <row r="366" spans="1:1" x14ac:dyDescent="0.3">
      <c r="A366" t="s">
        <v>921</v>
      </c>
    </row>
    <row r="367" spans="1:1" x14ac:dyDescent="0.3">
      <c r="A367" t="s">
        <v>881</v>
      </c>
    </row>
    <row r="368" spans="1:1" x14ac:dyDescent="0.3">
      <c r="A368" t="s">
        <v>699</v>
      </c>
    </row>
    <row r="369" spans="1:1" x14ac:dyDescent="0.3">
      <c r="A369" t="s">
        <v>727</v>
      </c>
    </row>
    <row r="370" spans="1:1" x14ac:dyDescent="0.3">
      <c r="A370" t="s">
        <v>1020</v>
      </c>
    </row>
    <row r="371" spans="1:1" x14ac:dyDescent="0.3">
      <c r="A371" t="s">
        <v>1082</v>
      </c>
    </row>
    <row r="372" spans="1:1" x14ac:dyDescent="0.3">
      <c r="A372" t="s">
        <v>1113</v>
      </c>
    </row>
    <row r="373" spans="1:1" x14ac:dyDescent="0.3">
      <c r="A373" t="s">
        <v>1051</v>
      </c>
    </row>
    <row r="374" spans="1:1" x14ac:dyDescent="0.3">
      <c r="A374" t="s">
        <v>986</v>
      </c>
    </row>
    <row r="375" spans="1:1" x14ac:dyDescent="0.3">
      <c r="A375" t="s">
        <v>987</v>
      </c>
    </row>
    <row r="376" spans="1:1" x14ac:dyDescent="0.3">
      <c r="A376" t="s">
        <v>1139</v>
      </c>
    </row>
    <row r="377" spans="1:1" x14ac:dyDescent="0.3">
      <c r="A377" t="s">
        <v>945</v>
      </c>
    </row>
    <row r="378" spans="1:1" x14ac:dyDescent="0.3">
      <c r="A378" t="s">
        <v>658</v>
      </c>
    </row>
    <row r="379" spans="1:1" x14ac:dyDescent="0.3">
      <c r="A379" t="s">
        <v>1021</v>
      </c>
    </row>
    <row r="380" spans="1:1" x14ac:dyDescent="0.3">
      <c r="A380" t="s">
        <v>1083</v>
      </c>
    </row>
    <row r="381" spans="1:1" x14ac:dyDescent="0.3">
      <c r="A381" t="s">
        <v>1114</v>
      </c>
    </row>
    <row r="382" spans="1:1" x14ac:dyDescent="0.3">
      <c r="A382" t="s">
        <v>1052</v>
      </c>
    </row>
    <row r="383" spans="1:1" x14ac:dyDescent="0.3">
      <c r="A383" t="s">
        <v>785</v>
      </c>
    </row>
    <row r="384" spans="1:1" x14ac:dyDescent="0.3">
      <c r="A384" t="s">
        <v>742</v>
      </c>
    </row>
    <row r="385" spans="1:1" x14ac:dyDescent="0.3">
      <c r="A385" t="s">
        <v>828</v>
      </c>
    </row>
    <row r="386" spans="1:1" x14ac:dyDescent="0.3">
      <c r="A386" t="s">
        <v>902</v>
      </c>
    </row>
    <row r="387" spans="1:1" x14ac:dyDescent="0.3">
      <c r="A387" t="s">
        <v>671</v>
      </c>
    </row>
    <row r="388" spans="1:1" x14ac:dyDescent="0.3">
      <c r="A388" t="s">
        <v>988</v>
      </c>
    </row>
    <row r="389" spans="1:1" x14ac:dyDescent="0.3">
      <c r="A389" t="s">
        <v>1164</v>
      </c>
    </row>
    <row r="390" spans="1:1" x14ac:dyDescent="0.3">
      <c r="A390" t="s">
        <v>949</v>
      </c>
    </row>
    <row r="391" spans="1:1" x14ac:dyDescent="0.3">
      <c r="A391" t="s">
        <v>659</v>
      </c>
    </row>
    <row r="392" spans="1:1" x14ac:dyDescent="0.3">
      <c r="A392" t="s">
        <v>697</v>
      </c>
    </row>
    <row r="393" spans="1:1" x14ac:dyDescent="0.3">
      <c r="A393" t="s">
        <v>725</v>
      </c>
    </row>
    <row r="394" spans="1:1" x14ac:dyDescent="0.3">
      <c r="A394" t="s">
        <v>789</v>
      </c>
    </row>
    <row r="395" spans="1:1" x14ac:dyDescent="0.3">
      <c r="A395" t="s">
        <v>746</v>
      </c>
    </row>
    <row r="396" spans="1:1" x14ac:dyDescent="0.3">
      <c r="A396" t="s">
        <v>832</v>
      </c>
    </row>
    <row r="397" spans="1:1" x14ac:dyDescent="0.3">
      <c r="A397" t="s">
        <v>906</v>
      </c>
    </row>
    <row r="398" spans="1:1" x14ac:dyDescent="0.3">
      <c r="A398" t="s">
        <v>672</v>
      </c>
    </row>
    <row r="399" spans="1:1" x14ac:dyDescent="0.3">
      <c r="A399" t="s">
        <v>1022</v>
      </c>
    </row>
    <row r="400" spans="1:1" x14ac:dyDescent="0.3">
      <c r="A400" t="s">
        <v>1084</v>
      </c>
    </row>
    <row r="401" spans="1:1" x14ac:dyDescent="0.3">
      <c r="A401" t="s">
        <v>1115</v>
      </c>
    </row>
    <row r="402" spans="1:1" x14ac:dyDescent="0.3">
      <c r="A402" t="s">
        <v>1053</v>
      </c>
    </row>
    <row r="403" spans="1:1" x14ac:dyDescent="0.3">
      <c r="A403" t="s">
        <v>1140</v>
      </c>
    </row>
    <row r="404" spans="1:1" x14ac:dyDescent="0.3">
      <c r="A404" t="s">
        <v>973</v>
      </c>
    </row>
    <row r="405" spans="1:1" x14ac:dyDescent="0.3">
      <c r="A405" t="s">
        <v>813</v>
      </c>
    </row>
    <row r="406" spans="1:1" x14ac:dyDescent="0.3">
      <c r="A406" t="s">
        <v>770</v>
      </c>
    </row>
    <row r="407" spans="1:1" x14ac:dyDescent="0.3">
      <c r="A407" t="s">
        <v>856</v>
      </c>
    </row>
    <row r="408" spans="1:1" x14ac:dyDescent="0.3">
      <c r="A408" t="s">
        <v>1165</v>
      </c>
    </row>
    <row r="409" spans="1:1" x14ac:dyDescent="0.3">
      <c r="A409" t="s">
        <v>930</v>
      </c>
    </row>
    <row r="410" spans="1:1" x14ac:dyDescent="0.3">
      <c r="A410" t="s">
        <v>887</v>
      </c>
    </row>
    <row r="411" spans="1:1" x14ac:dyDescent="0.3">
      <c r="A411" t="s">
        <v>1166</v>
      </c>
    </row>
    <row r="412" spans="1:1" x14ac:dyDescent="0.3">
      <c r="A412" t="s">
        <v>965</v>
      </c>
    </row>
    <row r="413" spans="1:1" x14ac:dyDescent="0.3">
      <c r="A413" t="s">
        <v>663</v>
      </c>
    </row>
    <row r="414" spans="1:1" x14ac:dyDescent="0.3">
      <c r="A414" t="s">
        <v>805</v>
      </c>
    </row>
    <row r="415" spans="1:1" x14ac:dyDescent="0.3">
      <c r="A415" t="s">
        <v>762</v>
      </c>
    </row>
    <row r="416" spans="1:1" x14ac:dyDescent="0.3">
      <c r="A416" t="s">
        <v>848</v>
      </c>
    </row>
    <row r="417" spans="1:1" x14ac:dyDescent="0.3">
      <c r="A417" t="s">
        <v>922</v>
      </c>
    </row>
    <row r="418" spans="1:1" x14ac:dyDescent="0.3">
      <c r="A418" t="s">
        <v>676</v>
      </c>
    </row>
    <row r="419" spans="1:1" x14ac:dyDescent="0.3">
      <c r="A419" t="s">
        <v>692</v>
      </c>
    </row>
    <row r="420" spans="1:1" x14ac:dyDescent="0.3">
      <c r="A420" t="s">
        <v>721</v>
      </c>
    </row>
    <row r="421" spans="1:1" x14ac:dyDescent="0.3">
      <c r="A421" t="s">
        <v>981</v>
      </c>
    </row>
    <row r="422" spans="1:1" x14ac:dyDescent="0.3">
      <c r="A422" t="s">
        <v>821</v>
      </c>
    </row>
    <row r="423" spans="1:1" x14ac:dyDescent="0.3">
      <c r="A423" t="s">
        <v>778</v>
      </c>
    </row>
    <row r="424" spans="1:1" x14ac:dyDescent="0.3">
      <c r="A424" t="s">
        <v>864</v>
      </c>
    </row>
    <row r="425" spans="1:1" x14ac:dyDescent="0.3">
      <c r="A425" t="s">
        <v>938</v>
      </c>
    </row>
    <row r="426" spans="1:1" x14ac:dyDescent="0.3">
      <c r="A426" t="s">
        <v>894</v>
      </c>
    </row>
    <row r="427" spans="1:1" x14ac:dyDescent="0.3">
      <c r="A427" t="s">
        <v>703</v>
      </c>
    </row>
    <row r="428" spans="1:1" x14ac:dyDescent="0.3">
      <c r="A428" t="s">
        <v>731</v>
      </c>
    </row>
    <row r="429" spans="1:1" x14ac:dyDescent="0.3">
      <c r="A429" t="s">
        <v>944</v>
      </c>
    </row>
    <row r="430" spans="1:1" x14ac:dyDescent="0.3">
      <c r="A430" t="s">
        <v>1167</v>
      </c>
    </row>
    <row r="431" spans="1:1" x14ac:dyDescent="0.3">
      <c r="A431" t="s">
        <v>665</v>
      </c>
    </row>
    <row r="432" spans="1:1" x14ac:dyDescent="0.3">
      <c r="A432" t="s">
        <v>1023</v>
      </c>
    </row>
    <row r="433" spans="1:1" x14ac:dyDescent="0.3">
      <c r="A433" t="s">
        <v>1085</v>
      </c>
    </row>
    <row r="434" spans="1:1" x14ac:dyDescent="0.3">
      <c r="A434" t="s">
        <v>1116</v>
      </c>
    </row>
    <row r="435" spans="1:1" x14ac:dyDescent="0.3">
      <c r="A435" t="s">
        <v>1054</v>
      </c>
    </row>
    <row r="436" spans="1:1" x14ac:dyDescent="0.3">
      <c r="A436" t="s">
        <v>784</v>
      </c>
    </row>
    <row r="437" spans="1:1" x14ac:dyDescent="0.3">
      <c r="A437" t="s">
        <v>741</v>
      </c>
    </row>
    <row r="438" spans="1:1" x14ac:dyDescent="0.3">
      <c r="A438" t="s">
        <v>827</v>
      </c>
    </row>
    <row r="439" spans="1:1" x14ac:dyDescent="0.3">
      <c r="A439" t="s">
        <v>1147</v>
      </c>
    </row>
    <row r="440" spans="1:1" x14ac:dyDescent="0.3">
      <c r="A440" t="s">
        <v>901</v>
      </c>
    </row>
    <row r="441" spans="1:1" x14ac:dyDescent="0.3">
      <c r="A441" t="s">
        <v>678</v>
      </c>
    </row>
    <row r="442" spans="1:1" x14ac:dyDescent="0.3">
      <c r="A442" t="s">
        <v>689</v>
      </c>
    </row>
    <row r="443" spans="1:1" x14ac:dyDescent="0.3">
      <c r="A443" t="s">
        <v>718</v>
      </c>
    </row>
    <row r="444" spans="1:1" x14ac:dyDescent="0.3">
      <c r="A444" t="s">
        <v>707</v>
      </c>
    </row>
    <row r="445" spans="1:1" x14ac:dyDescent="0.3">
      <c r="A445" t="s">
        <v>735</v>
      </c>
    </row>
    <row r="446" spans="1:1" x14ac:dyDescent="0.3">
      <c r="A446" t="s">
        <v>1024</v>
      </c>
    </row>
    <row r="447" spans="1:1" x14ac:dyDescent="0.3">
      <c r="A447" t="s">
        <v>1086</v>
      </c>
    </row>
    <row r="448" spans="1:1" x14ac:dyDescent="0.3">
      <c r="A448" t="s">
        <v>1117</v>
      </c>
    </row>
    <row r="449" spans="1:1" x14ac:dyDescent="0.3">
      <c r="A449" t="s">
        <v>1055</v>
      </c>
    </row>
    <row r="450" spans="1:1" x14ac:dyDescent="0.3">
      <c r="A450" t="s">
        <v>691</v>
      </c>
    </row>
    <row r="451" spans="1:1" x14ac:dyDescent="0.3">
      <c r="A451" t="s">
        <v>720</v>
      </c>
    </row>
    <row r="452" spans="1:1" x14ac:dyDescent="0.3">
      <c r="A452" t="s">
        <v>702</v>
      </c>
    </row>
    <row r="453" spans="1:1" x14ac:dyDescent="0.3">
      <c r="A453" t="s">
        <v>730</v>
      </c>
    </row>
    <row r="454" spans="1:1" x14ac:dyDescent="0.3">
      <c r="A454" t="s">
        <v>1025</v>
      </c>
    </row>
    <row r="455" spans="1:1" x14ac:dyDescent="0.3">
      <c r="A455" t="s">
        <v>1087</v>
      </c>
    </row>
    <row r="456" spans="1:1" x14ac:dyDescent="0.3">
      <c r="A456" t="s">
        <v>1118</v>
      </c>
    </row>
    <row r="457" spans="1:1" x14ac:dyDescent="0.3">
      <c r="A457" t="s">
        <v>1056</v>
      </c>
    </row>
    <row r="458" spans="1:1" x14ac:dyDescent="0.3">
      <c r="A458" t="s">
        <v>1026</v>
      </c>
    </row>
    <row r="459" spans="1:1" x14ac:dyDescent="0.3">
      <c r="A459" t="s">
        <v>1088</v>
      </c>
    </row>
    <row r="460" spans="1:1" x14ac:dyDescent="0.3">
      <c r="A460" t="s">
        <v>1119</v>
      </c>
    </row>
    <row r="461" spans="1:1" x14ac:dyDescent="0.3">
      <c r="A461" t="s">
        <v>1057</v>
      </c>
    </row>
    <row r="462" spans="1:1" x14ac:dyDescent="0.3">
      <c r="A462" t="s">
        <v>693</v>
      </c>
    </row>
    <row r="463" spans="1:1" x14ac:dyDescent="0.3">
      <c r="A463" t="s">
        <v>739</v>
      </c>
    </row>
    <row r="464" spans="1:1" x14ac:dyDescent="0.3">
      <c r="A464" t="s">
        <v>1168</v>
      </c>
    </row>
    <row r="465" spans="1:1" x14ac:dyDescent="0.3">
      <c r="A465" t="s">
        <v>969</v>
      </c>
    </row>
    <row r="466" spans="1:1" x14ac:dyDescent="0.3">
      <c r="A466" t="s">
        <v>666</v>
      </c>
    </row>
    <row r="467" spans="1:1" x14ac:dyDescent="0.3">
      <c r="A467" t="s">
        <v>809</v>
      </c>
    </row>
    <row r="468" spans="1:1" x14ac:dyDescent="0.3">
      <c r="A468" t="s">
        <v>766</v>
      </c>
    </row>
    <row r="469" spans="1:1" x14ac:dyDescent="0.3">
      <c r="A469" t="s">
        <v>852</v>
      </c>
    </row>
    <row r="470" spans="1:1" x14ac:dyDescent="0.3">
      <c r="A470" t="s">
        <v>926</v>
      </c>
    </row>
    <row r="471" spans="1:1" x14ac:dyDescent="0.3">
      <c r="A471" t="s">
        <v>679</v>
      </c>
    </row>
    <row r="472" spans="1:1" x14ac:dyDescent="0.3">
      <c r="A472" t="s">
        <v>974</v>
      </c>
    </row>
    <row r="473" spans="1:1" x14ac:dyDescent="0.3">
      <c r="A473" t="s">
        <v>814</v>
      </c>
    </row>
    <row r="474" spans="1:1" x14ac:dyDescent="0.3">
      <c r="A474" t="s">
        <v>771</v>
      </c>
    </row>
    <row r="475" spans="1:1" x14ac:dyDescent="0.3">
      <c r="A475" t="s">
        <v>857</v>
      </c>
    </row>
    <row r="476" spans="1:1" x14ac:dyDescent="0.3">
      <c r="A476" t="s">
        <v>931</v>
      </c>
    </row>
    <row r="477" spans="1:1" x14ac:dyDescent="0.3">
      <c r="A477" t="s">
        <v>899</v>
      </c>
    </row>
    <row r="478" spans="1:1" x14ac:dyDescent="0.3">
      <c r="A478" t="s">
        <v>995</v>
      </c>
    </row>
    <row r="479" spans="1:1" x14ac:dyDescent="0.3">
      <c r="A479" t="s">
        <v>1169</v>
      </c>
    </row>
    <row r="480" spans="1:1" x14ac:dyDescent="0.3">
      <c r="A480" t="s">
        <v>966</v>
      </c>
    </row>
    <row r="481" spans="1:1" x14ac:dyDescent="0.3">
      <c r="A481" t="s">
        <v>806</v>
      </c>
    </row>
    <row r="482" spans="1:1" x14ac:dyDescent="0.3">
      <c r="A482" t="s">
        <v>763</v>
      </c>
    </row>
    <row r="483" spans="1:1" x14ac:dyDescent="0.3">
      <c r="A483" t="s">
        <v>849</v>
      </c>
    </row>
    <row r="484" spans="1:1" x14ac:dyDescent="0.3">
      <c r="A484" t="s">
        <v>923</v>
      </c>
    </row>
    <row r="485" spans="1:1" x14ac:dyDescent="0.3">
      <c r="A485" t="s">
        <v>882</v>
      </c>
    </row>
    <row r="486" spans="1:1" x14ac:dyDescent="0.3">
      <c r="A486" t="s">
        <v>1170</v>
      </c>
    </row>
    <row r="487" spans="1:1" x14ac:dyDescent="0.3">
      <c r="A487" t="s">
        <v>1171</v>
      </c>
    </row>
    <row r="488" spans="1:1" x14ac:dyDescent="0.3">
      <c r="A488" t="s">
        <v>1172</v>
      </c>
    </row>
    <row r="489" spans="1:1" x14ac:dyDescent="0.3">
      <c r="A489" t="s">
        <v>1173</v>
      </c>
    </row>
    <row r="490" spans="1:1" x14ac:dyDescent="0.3">
      <c r="A490" t="s">
        <v>948</v>
      </c>
    </row>
    <row r="491" spans="1:1" x14ac:dyDescent="0.3">
      <c r="A491" t="s">
        <v>660</v>
      </c>
    </row>
    <row r="492" spans="1:1" x14ac:dyDescent="0.3">
      <c r="A492" t="s">
        <v>696</v>
      </c>
    </row>
    <row r="493" spans="1:1" x14ac:dyDescent="0.3">
      <c r="A493" t="s">
        <v>724</v>
      </c>
    </row>
    <row r="494" spans="1:1" x14ac:dyDescent="0.3">
      <c r="A494" t="s">
        <v>694</v>
      </c>
    </row>
    <row r="495" spans="1:1" x14ac:dyDescent="0.3">
      <c r="A495" t="s">
        <v>788</v>
      </c>
    </row>
    <row r="496" spans="1:1" x14ac:dyDescent="0.3">
      <c r="A496" t="s">
        <v>745</v>
      </c>
    </row>
    <row r="497" spans="1:1" x14ac:dyDescent="0.3">
      <c r="A497" t="s">
        <v>831</v>
      </c>
    </row>
    <row r="498" spans="1:1" x14ac:dyDescent="0.3">
      <c r="A498" t="s">
        <v>722</v>
      </c>
    </row>
    <row r="499" spans="1:1" x14ac:dyDescent="0.3">
      <c r="A499" t="s">
        <v>905</v>
      </c>
    </row>
    <row r="500" spans="1:1" x14ac:dyDescent="0.3">
      <c r="A500" t="s">
        <v>673</v>
      </c>
    </row>
    <row r="501" spans="1:1" x14ac:dyDescent="0.3">
      <c r="A501" t="s">
        <v>1174</v>
      </c>
    </row>
    <row r="502" spans="1:1" x14ac:dyDescent="0.3">
      <c r="A502" t="s">
        <v>1175</v>
      </c>
    </row>
    <row r="503" spans="1:1" x14ac:dyDescent="0.3">
      <c r="A503" t="s">
        <v>952</v>
      </c>
    </row>
    <row r="504" spans="1:1" x14ac:dyDescent="0.3">
      <c r="A504" t="s">
        <v>792</v>
      </c>
    </row>
    <row r="505" spans="1:1" x14ac:dyDescent="0.3">
      <c r="A505" t="s">
        <v>749</v>
      </c>
    </row>
    <row r="506" spans="1:1" x14ac:dyDescent="0.3">
      <c r="A506" t="s">
        <v>835</v>
      </c>
    </row>
    <row r="507" spans="1:1" x14ac:dyDescent="0.3">
      <c r="A507" t="s">
        <v>909</v>
      </c>
    </row>
    <row r="508" spans="1:1" x14ac:dyDescent="0.3">
      <c r="A508" t="s">
        <v>871</v>
      </c>
    </row>
    <row r="509" spans="1:1" x14ac:dyDescent="0.3">
      <c r="A509" t="s">
        <v>943</v>
      </c>
    </row>
    <row r="510" spans="1:1" x14ac:dyDescent="0.3">
      <c r="A510" t="s">
        <v>783</v>
      </c>
    </row>
    <row r="511" spans="1:1" x14ac:dyDescent="0.3">
      <c r="A511" t="s">
        <v>740</v>
      </c>
    </row>
    <row r="512" spans="1:1" x14ac:dyDescent="0.3">
      <c r="A512" t="s">
        <v>826</v>
      </c>
    </row>
    <row r="513" spans="1:1" x14ac:dyDescent="0.3">
      <c r="A513" t="s">
        <v>900</v>
      </c>
    </row>
    <row r="514" spans="1:1" x14ac:dyDescent="0.3">
      <c r="A514" t="s">
        <v>869</v>
      </c>
    </row>
    <row r="515" spans="1:1" x14ac:dyDescent="0.3">
      <c r="A515" t="s">
        <v>1176</v>
      </c>
    </row>
    <row r="516" spans="1:1" x14ac:dyDescent="0.3">
      <c r="A516" t="s">
        <v>979</v>
      </c>
    </row>
    <row r="517" spans="1:1" x14ac:dyDescent="0.3">
      <c r="A517" t="s">
        <v>819</v>
      </c>
    </row>
    <row r="518" spans="1:1" x14ac:dyDescent="0.3">
      <c r="A518" t="s">
        <v>776</v>
      </c>
    </row>
    <row r="519" spans="1:1" x14ac:dyDescent="0.3">
      <c r="A519" t="s">
        <v>862</v>
      </c>
    </row>
    <row r="520" spans="1:1" x14ac:dyDescent="0.3">
      <c r="A520" t="s">
        <v>936</v>
      </c>
    </row>
    <row r="521" spans="1:1" x14ac:dyDescent="0.3">
      <c r="A521" t="s">
        <v>892</v>
      </c>
    </row>
    <row r="522" spans="1:1" x14ac:dyDescent="0.3">
      <c r="A522" t="s">
        <v>1027</v>
      </c>
    </row>
    <row r="523" spans="1:1" x14ac:dyDescent="0.3">
      <c r="A523" t="s">
        <v>1089</v>
      </c>
    </row>
    <row r="524" spans="1:1" x14ac:dyDescent="0.3">
      <c r="A524" t="s">
        <v>1120</v>
      </c>
    </row>
    <row r="525" spans="1:1" x14ac:dyDescent="0.3">
      <c r="A525" t="s">
        <v>1058</v>
      </c>
    </row>
    <row r="526" spans="1:1" x14ac:dyDescent="0.3">
      <c r="A526" t="s">
        <v>1177</v>
      </c>
    </row>
    <row r="527" spans="1:1" x14ac:dyDescent="0.3">
      <c r="A527" t="s">
        <v>1225</v>
      </c>
    </row>
    <row r="528" spans="1:1" x14ac:dyDescent="0.3">
      <c r="A528" t="s">
        <v>1226</v>
      </c>
    </row>
    <row r="529" spans="1:1" x14ac:dyDescent="0.3">
      <c r="A529" t="s">
        <v>1227</v>
      </c>
    </row>
    <row r="530" spans="1:1" x14ac:dyDescent="0.3">
      <c r="A530" t="s">
        <v>1228</v>
      </c>
    </row>
    <row r="531" spans="1:1" x14ac:dyDescent="0.3">
      <c r="A531" t="s">
        <v>1229</v>
      </c>
    </row>
    <row r="532" spans="1:1" x14ac:dyDescent="0.3">
      <c r="A532" t="s">
        <v>1230</v>
      </c>
    </row>
    <row r="533" spans="1:1" x14ac:dyDescent="0.3">
      <c r="A533" t="s">
        <v>1231</v>
      </c>
    </row>
  </sheetData>
  <pageMargins left="0.7" right="0.7" top="0.75" bottom="0.75" header="0.3" footer="0.3"/>
  <pageSetup paperSize="256"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Remotes</vt:lpstr>
      <vt:lpstr>Cables</vt:lpstr>
      <vt:lpstr>Adapters</vt:lpstr>
      <vt:lpstr>Power Strip</vt:lpstr>
      <vt:lpstr>Cordless Bell</vt:lpstr>
      <vt:lpstr>Sheet2</vt:lpstr>
      <vt:lpstr>Remote Keywords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2023-04-25T14:21:24Z</dcterms:modified>
</cp:coreProperties>
</file>